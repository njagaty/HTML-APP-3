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 activeTab="6"/>
  </bookViews>
  <sheets>
    <sheet name="CRUSHER" sheetId="2" r:id="rId1"/>
    <sheet name="RAW MILL" sheetId="13" r:id="rId2"/>
    <sheet name="KILN" sheetId="14" r:id="rId3"/>
    <sheet name="COAL MILL" sheetId="15" r:id="rId4"/>
    <sheet name="CVRM" sheetId="16" r:id="rId5"/>
    <sheet name="BM" sheetId="23" r:id="rId6"/>
    <sheet name="OVERALL" sheetId="20" r:id="rId7"/>
    <sheet name="R SHEET" sheetId="2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0" l="1"/>
  <c r="J6" i="20" s="1"/>
  <c r="G7" i="20"/>
  <c r="J7" i="20" s="1"/>
  <c r="G8" i="20"/>
  <c r="G9" i="20"/>
  <c r="G10" i="20"/>
  <c r="G11" i="20"/>
  <c r="G12" i="20"/>
  <c r="G13" i="20"/>
  <c r="G14" i="20"/>
  <c r="G21" i="20"/>
  <c r="G22" i="20"/>
  <c r="G23" i="20"/>
  <c r="G24" i="20"/>
  <c r="G25" i="20"/>
  <c r="G26" i="20"/>
  <c r="G27" i="20"/>
  <c r="G28" i="20"/>
  <c r="J8" i="20"/>
  <c r="J9" i="20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3" i="23"/>
  <c r="AP5" i="16"/>
  <c r="J3" i="15"/>
  <c r="J18" i="14"/>
  <c r="J17" i="14" s="1"/>
  <c r="J3" i="14"/>
  <c r="J9" i="13"/>
  <c r="J8" i="13"/>
  <c r="J4" i="13"/>
  <c r="J5" i="13"/>
  <c r="J3" i="13"/>
  <c r="J4" i="2"/>
  <c r="J3" i="2"/>
  <c r="H4" i="16"/>
  <c r="I4" i="16" s="1"/>
  <c r="H5" i="16"/>
  <c r="H6" i="16"/>
  <c r="I6" i="16" s="1"/>
  <c r="H7" i="16"/>
  <c r="I7" i="16" s="1"/>
  <c r="H8" i="16"/>
  <c r="I8" i="16" s="1"/>
  <c r="H9" i="16"/>
  <c r="I9" i="16" s="1"/>
  <c r="H10" i="16"/>
  <c r="I10" i="16" s="1"/>
  <c r="H11" i="16"/>
  <c r="I11" i="16" s="1"/>
  <c r="H12" i="16"/>
  <c r="I12" i="16" s="1"/>
  <c r="G4" i="16"/>
  <c r="G6" i="16"/>
  <c r="G7" i="16"/>
  <c r="G8" i="16"/>
  <c r="G9" i="16"/>
  <c r="G10" i="16"/>
  <c r="G11" i="16"/>
  <c r="G12" i="16"/>
  <c r="F4" i="16"/>
  <c r="F5" i="16"/>
  <c r="F6" i="16"/>
  <c r="F7" i="16"/>
  <c r="F8" i="16"/>
  <c r="F9" i="16"/>
  <c r="F10" i="16"/>
  <c r="F11" i="16"/>
  <c r="F12" i="16"/>
  <c r="E4" i="16"/>
  <c r="E6" i="16"/>
  <c r="E7" i="16"/>
  <c r="E8" i="16"/>
  <c r="E9" i="16"/>
  <c r="E10" i="16"/>
  <c r="E11" i="16"/>
  <c r="E12" i="16"/>
  <c r="D9" i="16"/>
  <c r="D10" i="16"/>
  <c r="D11" i="16"/>
  <c r="D8" i="16"/>
  <c r="D4" i="16"/>
  <c r="D3" i="16"/>
  <c r="H4" i="15"/>
  <c r="H5" i="15"/>
  <c r="H6" i="15"/>
  <c r="H7" i="15"/>
  <c r="H8" i="15"/>
  <c r="H9" i="15"/>
  <c r="H10" i="15"/>
  <c r="H11" i="15"/>
  <c r="H12" i="15"/>
  <c r="H13" i="15"/>
  <c r="G4" i="15"/>
  <c r="G5" i="15"/>
  <c r="G6" i="15"/>
  <c r="G7" i="15"/>
  <c r="G8" i="15"/>
  <c r="G9" i="15"/>
  <c r="G10" i="15"/>
  <c r="G11" i="15"/>
  <c r="G12" i="15"/>
  <c r="G13" i="15"/>
  <c r="F4" i="15"/>
  <c r="F5" i="15"/>
  <c r="F6" i="15"/>
  <c r="F7" i="15"/>
  <c r="F8" i="15"/>
  <c r="F9" i="15"/>
  <c r="F10" i="15"/>
  <c r="F11" i="15"/>
  <c r="F12" i="15"/>
  <c r="F13" i="15"/>
  <c r="D9" i="15"/>
  <c r="D10" i="15"/>
  <c r="D11" i="15"/>
  <c r="D8" i="15"/>
  <c r="D4" i="15"/>
  <c r="D3" i="15"/>
  <c r="G12" i="14"/>
  <c r="G13" i="14"/>
  <c r="G14" i="14"/>
  <c r="G15" i="14"/>
  <c r="G16" i="14"/>
  <c r="G17" i="14"/>
  <c r="G18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D16" i="14"/>
  <c r="D8" i="14"/>
  <c r="D9" i="14"/>
  <c r="D10" i="14"/>
  <c r="D11" i="14"/>
  <c r="D12" i="14"/>
  <c r="D13" i="14"/>
  <c r="D14" i="14"/>
  <c r="D7" i="14"/>
  <c r="D4" i="14"/>
  <c r="D3" i="14"/>
  <c r="G9" i="13"/>
  <c r="G10" i="13"/>
  <c r="G11" i="13"/>
  <c r="G12" i="13"/>
  <c r="G13" i="13"/>
  <c r="G14" i="13"/>
  <c r="G15" i="13"/>
  <c r="G16" i="13"/>
  <c r="G17" i="13"/>
  <c r="G18" i="13"/>
  <c r="G19" i="13"/>
  <c r="G20" i="13"/>
  <c r="G4" i="13"/>
  <c r="G5" i="13"/>
  <c r="G6" i="13"/>
  <c r="G7" i="13"/>
  <c r="G8" i="13"/>
  <c r="G3" i="13"/>
  <c r="D4" i="13"/>
  <c r="D5" i="13"/>
  <c r="D6" i="13"/>
  <c r="D7" i="13"/>
  <c r="D8" i="13"/>
  <c r="D9" i="13"/>
  <c r="D3" i="13"/>
  <c r="G4" i="2"/>
  <c r="G6" i="2"/>
  <c r="G7" i="2"/>
  <c r="G8" i="2"/>
  <c r="G9" i="2"/>
  <c r="G10" i="2"/>
  <c r="G11" i="2"/>
  <c r="G12" i="2"/>
  <c r="G3" i="2"/>
  <c r="D4" i="2"/>
  <c r="D3" i="2"/>
  <c r="J5" i="2" l="1"/>
  <c r="D3" i="23"/>
  <c r="F19" i="23"/>
  <c r="F20" i="23"/>
  <c r="D4" i="23"/>
  <c r="D5" i="23"/>
  <c r="D6" i="23"/>
  <c r="D7" i="23"/>
  <c r="D8" i="23"/>
  <c r="D9" i="23"/>
  <c r="M26" i="23"/>
  <c r="C18" i="23"/>
  <c r="D18" i="23" s="1"/>
  <c r="D17" i="23"/>
  <c r="D16" i="23"/>
  <c r="D15" i="23"/>
  <c r="D14" i="23"/>
  <c r="D13" i="23"/>
  <c r="D12" i="23"/>
  <c r="D11" i="23"/>
  <c r="D10" i="23"/>
  <c r="C9" i="23"/>
  <c r="C8" i="23"/>
  <c r="C7" i="23"/>
  <c r="C6" i="23"/>
  <c r="C5" i="23"/>
  <c r="C4" i="23"/>
  <c r="E12" i="23" l="1"/>
  <c r="F12" i="23" s="1"/>
  <c r="E19" i="23"/>
  <c r="E16" i="23"/>
  <c r="F16" i="23" s="1"/>
  <c r="E18" i="23"/>
  <c r="F18" i="23" s="1"/>
  <c r="E11" i="23"/>
  <c r="F11" i="23" s="1"/>
  <c r="AP19" i="23"/>
  <c r="G19" i="23" s="1"/>
  <c r="E8" i="23"/>
  <c r="F8" i="23" s="1"/>
  <c r="AP7" i="23"/>
  <c r="G7" i="23" s="1"/>
  <c r="I7" i="23" s="1"/>
  <c r="AP9" i="23"/>
  <c r="G9" i="23" s="1"/>
  <c r="I9" i="23" s="1"/>
  <c r="AP12" i="23"/>
  <c r="G12" i="23" s="1"/>
  <c r="E6" i="23"/>
  <c r="F6" i="23" s="1"/>
  <c r="E14" i="23"/>
  <c r="F14" i="23" s="1"/>
  <c r="AP14" i="23"/>
  <c r="G14" i="23" s="1"/>
  <c r="I14" i="23" s="1"/>
  <c r="E3" i="23"/>
  <c r="F3" i="23" s="1"/>
  <c r="AP4" i="23"/>
  <c r="G4" i="23" s="1"/>
  <c r="I4" i="23" s="1"/>
  <c r="E4" i="23"/>
  <c r="F4" i="23" s="1"/>
  <c r="E5" i="23"/>
  <c r="F5" i="23" s="1"/>
  <c r="AP3" i="23"/>
  <c r="G3" i="23" s="1"/>
  <c r="AP5" i="23"/>
  <c r="G5" i="23" s="1"/>
  <c r="I5" i="23" s="1"/>
  <c r="AP16" i="23"/>
  <c r="G16" i="23" s="1"/>
  <c r="AP20" i="23"/>
  <c r="G20" i="23" s="1"/>
  <c r="I20" i="23" s="1"/>
  <c r="AP6" i="23"/>
  <c r="G6" i="23" s="1"/>
  <c r="I6" i="23" s="1"/>
  <c r="E9" i="23"/>
  <c r="F9" i="23" s="1"/>
  <c r="AP10" i="23"/>
  <c r="G10" i="23" s="1"/>
  <c r="I10" i="23" s="1"/>
  <c r="AP11" i="23"/>
  <c r="G11" i="23" s="1"/>
  <c r="I11" i="23" s="1"/>
  <c r="AP13" i="23"/>
  <c r="G13" i="23" s="1"/>
  <c r="I13" i="23" s="1"/>
  <c r="E13" i="23"/>
  <c r="F13" i="23" s="1"/>
  <c r="E15" i="23"/>
  <c r="F15" i="23" s="1"/>
  <c r="AP18" i="23"/>
  <c r="G18" i="23" s="1"/>
  <c r="I18" i="23" s="1"/>
  <c r="E20" i="23"/>
  <c r="E7" i="23"/>
  <c r="F7" i="23" s="1"/>
  <c r="AP8" i="23"/>
  <c r="G8" i="23" s="1"/>
  <c r="I8" i="23" s="1"/>
  <c r="E10" i="23"/>
  <c r="F10" i="23" s="1"/>
  <c r="AP15" i="23"/>
  <c r="G15" i="23" s="1"/>
  <c r="I15" i="23" s="1"/>
  <c r="AP17" i="23"/>
  <c r="G17" i="23" s="1"/>
  <c r="I17" i="23" s="1"/>
  <c r="E17" i="23"/>
  <c r="F17" i="23" s="1"/>
  <c r="I3" i="23" l="1"/>
  <c r="J3" i="23"/>
  <c r="I12" i="23"/>
  <c r="I19" i="23"/>
  <c r="I16" i="23"/>
  <c r="AP21" i="20"/>
  <c r="AP22" i="20"/>
  <c r="AP23" i="20"/>
  <c r="I23" i="20" s="1"/>
  <c r="AP24" i="20"/>
  <c r="I24" i="20" s="1"/>
  <c r="AP25" i="20"/>
  <c r="AP26" i="20"/>
  <c r="AP27" i="20"/>
  <c r="AP28" i="20"/>
  <c r="E21" i="20"/>
  <c r="E22" i="20"/>
  <c r="E23" i="20"/>
  <c r="F23" i="20" s="1"/>
  <c r="E24" i="20"/>
  <c r="F24" i="20" s="1"/>
  <c r="E25" i="20"/>
  <c r="E26" i="20"/>
  <c r="E27" i="20"/>
  <c r="F27" i="20" s="1"/>
  <c r="E28" i="20"/>
  <c r="F28" i="20" s="1"/>
  <c r="F21" i="20"/>
  <c r="F22" i="20"/>
  <c r="I22" i="20"/>
  <c r="F25" i="20"/>
  <c r="I25" i="20"/>
  <c r="F26" i="20"/>
  <c r="I26" i="20"/>
  <c r="I27" i="20"/>
  <c r="I28" i="20"/>
  <c r="D28" i="20"/>
  <c r="H28" i="20"/>
  <c r="D27" i="20"/>
  <c r="H27" i="20"/>
  <c r="D26" i="20"/>
  <c r="H26" i="20"/>
  <c r="D25" i="20"/>
  <c r="H25" i="20"/>
  <c r="D4" i="20"/>
  <c r="D5" i="20"/>
  <c r="D6" i="20"/>
  <c r="D7" i="20"/>
  <c r="D8" i="20"/>
  <c r="D9" i="20"/>
  <c r="D3" i="20"/>
  <c r="I21" i="20"/>
  <c r="D24" i="20"/>
  <c r="H24" i="20"/>
  <c r="D23" i="20"/>
  <c r="H23" i="20"/>
  <c r="D22" i="20"/>
  <c r="H22" i="20"/>
  <c r="D21" i="20"/>
  <c r="H21" i="20"/>
  <c r="H12" i="20"/>
  <c r="H13" i="20"/>
  <c r="H14" i="20"/>
  <c r="H15" i="20"/>
  <c r="H16" i="20"/>
  <c r="H17" i="20"/>
  <c r="H18" i="20"/>
  <c r="H19" i="20"/>
  <c r="H20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D11" i="20"/>
  <c r="D12" i="20"/>
  <c r="D13" i="20"/>
  <c r="D14" i="20"/>
  <c r="D15" i="20"/>
  <c r="D17" i="20"/>
  <c r="D18" i="20"/>
  <c r="D19" i="20"/>
  <c r="D20" i="20"/>
  <c r="D10" i="20"/>
  <c r="H7" i="20"/>
  <c r="H11" i="20"/>
  <c r="H10" i="20"/>
  <c r="H9" i="20"/>
  <c r="H8" i="20"/>
  <c r="H6" i="20"/>
  <c r="H5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C4" i="20"/>
  <c r="H4" i="20" s="1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H3" i="20"/>
  <c r="C3" i="20"/>
  <c r="C11" i="16"/>
  <c r="G5" i="16"/>
  <c r="I5" i="16" s="1"/>
  <c r="AP4" i="16"/>
  <c r="H3" i="16"/>
  <c r="AP4" i="15"/>
  <c r="AP5" i="15"/>
  <c r="E4" i="15"/>
  <c r="E5" i="15"/>
  <c r="AP4" i="14"/>
  <c r="E4" i="14"/>
  <c r="G4" i="14"/>
  <c r="H4" i="14"/>
  <c r="I4" i="14" s="1"/>
  <c r="E13" i="15"/>
  <c r="C11" i="15"/>
  <c r="H3" i="15"/>
  <c r="H5" i="14"/>
  <c r="I5" i="14" s="1"/>
  <c r="H6" i="14"/>
  <c r="I6" i="14" s="1"/>
  <c r="H7" i="14"/>
  <c r="I7" i="14" s="1"/>
  <c r="H8" i="14"/>
  <c r="I8" i="14" s="1"/>
  <c r="H9" i="14"/>
  <c r="I9" i="14" s="1"/>
  <c r="H10" i="14"/>
  <c r="I10" i="14" s="1"/>
  <c r="H11" i="14"/>
  <c r="I11" i="14" s="1"/>
  <c r="H12" i="14"/>
  <c r="I12" i="14" s="1"/>
  <c r="H13" i="14"/>
  <c r="I13" i="14" s="1"/>
  <c r="H14" i="14"/>
  <c r="I14" i="14" s="1"/>
  <c r="H15" i="14"/>
  <c r="I15" i="14" s="1"/>
  <c r="H16" i="14"/>
  <c r="I16" i="14" s="1"/>
  <c r="H17" i="14"/>
  <c r="I17" i="14" s="1"/>
  <c r="H18" i="14"/>
  <c r="I18" i="14" s="1"/>
  <c r="C14" i="14"/>
  <c r="H3" i="14"/>
  <c r="C9" i="13"/>
  <c r="C8" i="13"/>
  <c r="C5" i="13"/>
  <c r="C4" i="13"/>
  <c r="H4" i="13"/>
  <c r="H5" i="13"/>
  <c r="H7" i="13"/>
  <c r="E20" i="13"/>
  <c r="F20" i="13" s="1"/>
  <c r="AP19" i="13" l="1"/>
  <c r="AP16" i="20"/>
  <c r="E20" i="20"/>
  <c r="F20" i="20" s="1"/>
  <c r="AP18" i="20"/>
  <c r="AP20" i="20"/>
  <c r="AP14" i="20"/>
  <c r="AP6" i="20"/>
  <c r="AP7" i="20"/>
  <c r="AP11" i="20"/>
  <c r="I11" i="20" s="1"/>
  <c r="AP12" i="20"/>
  <c r="I12" i="20" s="1"/>
  <c r="AP10" i="20"/>
  <c r="I10" i="20" s="1"/>
  <c r="AP4" i="20"/>
  <c r="G4" i="20" s="1"/>
  <c r="AP9" i="20"/>
  <c r="I9" i="20" s="1"/>
  <c r="AP19" i="20"/>
  <c r="AP17" i="20"/>
  <c r="AP15" i="20"/>
  <c r="AP13" i="20"/>
  <c r="I13" i="20" s="1"/>
  <c r="AP8" i="20"/>
  <c r="E15" i="20"/>
  <c r="F15" i="20" s="1"/>
  <c r="I14" i="20"/>
  <c r="E4" i="20"/>
  <c r="F4" i="20" s="1"/>
  <c r="E19" i="20"/>
  <c r="F19" i="20" s="1"/>
  <c r="E18" i="20"/>
  <c r="F18" i="20" s="1"/>
  <c r="E17" i="20"/>
  <c r="F17" i="20" s="1"/>
  <c r="E16" i="20"/>
  <c r="F16" i="20" s="1"/>
  <c r="E14" i="20"/>
  <c r="F14" i="20" s="1"/>
  <c r="E13" i="20"/>
  <c r="F13" i="20" s="1"/>
  <c r="E6" i="20"/>
  <c r="F6" i="20" s="1"/>
  <c r="E7" i="20"/>
  <c r="F7" i="20" s="1"/>
  <c r="E9" i="20"/>
  <c r="F9" i="20" s="1"/>
  <c r="E10" i="20"/>
  <c r="F10" i="20" s="1"/>
  <c r="E11" i="20"/>
  <c r="F11" i="20" s="1"/>
  <c r="E12" i="20"/>
  <c r="F12" i="20" s="1"/>
  <c r="E8" i="20"/>
  <c r="F8" i="20" s="1"/>
  <c r="M5" i="20"/>
  <c r="Q5" i="20"/>
  <c r="U5" i="20"/>
  <c r="N5" i="20"/>
  <c r="V5" i="20"/>
  <c r="K5" i="20"/>
  <c r="O5" i="20"/>
  <c r="S5" i="20"/>
  <c r="W5" i="20"/>
  <c r="L5" i="20"/>
  <c r="P5" i="20"/>
  <c r="T5" i="20"/>
  <c r="X5" i="20"/>
  <c r="I7" i="20"/>
  <c r="E3" i="20"/>
  <c r="F3" i="20" s="1"/>
  <c r="I6" i="20"/>
  <c r="I8" i="20"/>
  <c r="R5" i="20"/>
  <c r="AP3" i="20"/>
  <c r="G3" i="20" s="1"/>
  <c r="J3" i="20" s="1"/>
  <c r="AP11" i="16"/>
  <c r="AP3" i="16"/>
  <c r="G3" i="16" s="1"/>
  <c r="E3" i="16"/>
  <c r="F3" i="16" s="1"/>
  <c r="AP6" i="16"/>
  <c r="AP8" i="16"/>
  <c r="AP10" i="16"/>
  <c r="AP7" i="16"/>
  <c r="AP9" i="16"/>
  <c r="AP12" i="16"/>
  <c r="I4" i="15"/>
  <c r="I5" i="15"/>
  <c r="AP10" i="15"/>
  <c r="I10" i="15" s="1"/>
  <c r="E8" i="15"/>
  <c r="E3" i="15"/>
  <c r="F3" i="15" s="1"/>
  <c r="E7" i="15"/>
  <c r="E6" i="15"/>
  <c r="AP6" i="15"/>
  <c r="I6" i="15" s="1"/>
  <c r="E9" i="15"/>
  <c r="E10" i="15"/>
  <c r="AP3" i="15"/>
  <c r="G3" i="15" s="1"/>
  <c r="I3" i="15" s="1"/>
  <c r="AP9" i="15"/>
  <c r="I9" i="15" s="1"/>
  <c r="AP12" i="15"/>
  <c r="I12" i="15" s="1"/>
  <c r="E12" i="15"/>
  <c r="AP8" i="15"/>
  <c r="I8" i="15" s="1"/>
  <c r="AP7" i="15"/>
  <c r="I7" i="15" s="1"/>
  <c r="AP11" i="15"/>
  <c r="I11" i="15" s="1"/>
  <c r="E11" i="15"/>
  <c r="AP11" i="14"/>
  <c r="G11" i="14" s="1"/>
  <c r="AP8" i="14"/>
  <c r="G8" i="14" s="1"/>
  <c r="AP15" i="14"/>
  <c r="AP6" i="14"/>
  <c r="G6" i="14" s="1"/>
  <c r="AP10" i="14"/>
  <c r="G10" i="14" s="1"/>
  <c r="AP14" i="14"/>
  <c r="AP12" i="14"/>
  <c r="AP13" i="14"/>
  <c r="AP5" i="14"/>
  <c r="G5" i="14" s="1"/>
  <c r="AP7" i="14"/>
  <c r="AP9" i="14"/>
  <c r="G9" i="14" s="1"/>
  <c r="E13" i="14"/>
  <c r="E14" i="14"/>
  <c r="E12" i="14"/>
  <c r="E11" i="14"/>
  <c r="E15" i="14"/>
  <c r="E3" i="14"/>
  <c r="F3" i="14" s="1"/>
  <c r="E10" i="14"/>
  <c r="E9" i="14"/>
  <c r="E7" i="14"/>
  <c r="E6" i="14"/>
  <c r="E8" i="14"/>
  <c r="E5" i="14"/>
  <c r="AP3" i="14"/>
  <c r="AP6" i="13"/>
  <c r="AP4" i="13"/>
  <c r="AP5" i="13"/>
  <c r="AP7" i="13"/>
  <c r="E5" i="13"/>
  <c r="F5" i="13" s="1"/>
  <c r="E4" i="13"/>
  <c r="F4" i="13" s="1"/>
  <c r="I5" i="13"/>
  <c r="E7" i="13"/>
  <c r="F7" i="13" s="1"/>
  <c r="I7" i="13"/>
  <c r="H13" i="13"/>
  <c r="H14" i="13"/>
  <c r="H15" i="13"/>
  <c r="H16" i="13"/>
  <c r="H18" i="13"/>
  <c r="H17" i="13"/>
  <c r="H12" i="13"/>
  <c r="H11" i="13"/>
  <c r="H10" i="13"/>
  <c r="H8" i="13"/>
  <c r="H6" i="13"/>
  <c r="C3" i="13"/>
  <c r="H3" i="13" s="1"/>
  <c r="I9" i="2"/>
  <c r="H9" i="2"/>
  <c r="H10" i="2"/>
  <c r="H8" i="2"/>
  <c r="H7" i="2"/>
  <c r="H6" i="2"/>
  <c r="H5" i="2"/>
  <c r="C11" i="2"/>
  <c r="H11" i="2" s="1"/>
  <c r="C3" i="2"/>
  <c r="C4" i="2" s="1"/>
  <c r="H4" i="2" s="1"/>
  <c r="G17" i="20" l="1"/>
  <c r="I17" i="20" s="1"/>
  <c r="G15" i="20"/>
  <c r="I15" i="20" s="1"/>
  <c r="G19" i="20"/>
  <c r="I19" i="20" s="1"/>
  <c r="G16" i="20"/>
  <c r="I16" i="20" s="1"/>
  <c r="G18" i="20"/>
  <c r="I18" i="20" s="1"/>
  <c r="G20" i="20"/>
  <c r="I20" i="20" s="1"/>
  <c r="I4" i="20"/>
  <c r="J4" i="20"/>
  <c r="I3" i="16"/>
  <c r="J3" i="16"/>
  <c r="J5" i="16" s="1"/>
  <c r="E9" i="13"/>
  <c r="F9" i="13" s="1"/>
  <c r="AP5" i="20"/>
  <c r="G5" i="20" s="1"/>
  <c r="E5" i="20"/>
  <c r="F5" i="20" s="1"/>
  <c r="I3" i="20"/>
  <c r="G7" i="14"/>
  <c r="G3" i="14"/>
  <c r="I3" i="14" s="1"/>
  <c r="AP13" i="13"/>
  <c r="AP16" i="13"/>
  <c r="AP14" i="13"/>
  <c r="AP8" i="13"/>
  <c r="AP15" i="13"/>
  <c r="AP11" i="13"/>
  <c r="AP9" i="13"/>
  <c r="I4" i="13"/>
  <c r="E19" i="13"/>
  <c r="E13" i="13"/>
  <c r="F13" i="13" s="1"/>
  <c r="E15" i="13"/>
  <c r="F15" i="13" s="1"/>
  <c r="I16" i="13"/>
  <c r="I14" i="13"/>
  <c r="E16" i="13"/>
  <c r="F16" i="13" s="1"/>
  <c r="I15" i="13"/>
  <c r="E14" i="13"/>
  <c r="F14" i="13" s="1"/>
  <c r="I13" i="13"/>
  <c r="I18" i="13"/>
  <c r="E6" i="13"/>
  <c r="F6" i="13" s="1"/>
  <c r="E12" i="13"/>
  <c r="F12" i="13" s="1"/>
  <c r="E18" i="13"/>
  <c r="F18" i="13" s="1"/>
  <c r="E17" i="13"/>
  <c r="F17" i="13" s="1"/>
  <c r="E10" i="13"/>
  <c r="F10" i="13" s="1"/>
  <c r="I12" i="13"/>
  <c r="I10" i="13"/>
  <c r="E3" i="13"/>
  <c r="F3" i="13" s="1"/>
  <c r="AP10" i="13"/>
  <c r="I6" i="13"/>
  <c r="E11" i="13"/>
  <c r="F11" i="13" s="1"/>
  <c r="AP3" i="13"/>
  <c r="AP12" i="13" s="1"/>
  <c r="I11" i="13"/>
  <c r="I10" i="2"/>
  <c r="I11" i="2"/>
  <c r="H3" i="2"/>
  <c r="I4" i="2"/>
  <c r="E9" i="2"/>
  <c r="F9" i="2" s="1"/>
  <c r="E10" i="2"/>
  <c r="F10" i="2" s="1"/>
  <c r="E11" i="2"/>
  <c r="F11" i="2" s="1"/>
  <c r="I5" i="20" l="1"/>
  <c r="J5" i="20"/>
  <c r="F19" i="13"/>
  <c r="I17" i="13"/>
  <c r="I19" i="13"/>
  <c r="I8" i="13"/>
  <c r="E8" i="13"/>
  <c r="F8" i="13" s="1"/>
  <c r="I3" i="13"/>
  <c r="I3" i="2"/>
  <c r="AP12" i="2"/>
  <c r="AP5" i="2"/>
  <c r="G5" i="2" s="1"/>
  <c r="I5" i="2" s="1"/>
  <c r="E4" i="2"/>
  <c r="F4" i="2" s="1"/>
  <c r="E3" i="2"/>
  <c r="F3" i="2" s="1"/>
  <c r="E7" i="2" l="1"/>
  <c r="F7" i="2" s="1"/>
  <c r="E6" i="2"/>
  <c r="F6" i="2" s="1"/>
  <c r="I8" i="2"/>
  <c r="I6" i="2"/>
  <c r="I7" i="2"/>
  <c r="E5" i="2"/>
  <c r="F5" i="2" s="1"/>
  <c r="E8" i="2"/>
  <c r="F8" i="2" s="1"/>
  <c r="E12" i="2"/>
  <c r="AP4" i="2"/>
  <c r="AP6" i="2"/>
  <c r="AP3" i="2"/>
  <c r="AP8" i="2" s="1"/>
  <c r="AP7" i="2"/>
  <c r="F12" i="2" l="1"/>
  <c r="I12" i="2"/>
</calcChain>
</file>

<file path=xl/sharedStrings.xml><?xml version="1.0" encoding="utf-8"?>
<sst xmlns="http://schemas.openxmlformats.org/spreadsheetml/2006/main" count="396" uniqueCount="118">
  <si>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</si>
  <si>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</si>
  <si>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</si>
  <si>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</si>
  <si>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</si>
  <si>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</si>
  <si>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</si>
  <si>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</si>
  <si>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</si>
  <si>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</si>
  <si>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</si>
  <si>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</si>
  <si>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</si>
  <si>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</si>
  <si>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</si>
  <si>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</si>
  <si>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</si>
  <si>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</si>
  <si>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</si>
  <si>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</si>
  <si>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</si>
  <si>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</si>
  <si>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</si>
  <si>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</si>
  <si>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</si>
  <si>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</si>
  <si>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</si>
  <si>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</si>
  <si>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</si>
  <si>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</si>
  <si>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</si>
  <si>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Sum</t>
  </si>
  <si>
    <t>Prdn</t>
  </si>
  <si>
    <t>RH</t>
  </si>
  <si>
    <t>TPH</t>
  </si>
  <si>
    <t># Stop</t>
  </si>
  <si>
    <t># Failure</t>
  </si>
  <si>
    <t># Alarming Equipment</t>
  </si>
  <si>
    <t>KPI</t>
  </si>
  <si>
    <t>STEC</t>
  </si>
  <si>
    <t>Clk Factor</t>
  </si>
  <si>
    <t>Clk prdn</t>
  </si>
  <si>
    <t>Cement Prdn</t>
  </si>
  <si>
    <t>Cement dispatch</t>
  </si>
  <si>
    <t>PPC Clk Factor</t>
  </si>
  <si>
    <t>PSC Clk Factor</t>
  </si>
  <si>
    <t>F2R Clk Factor</t>
  </si>
  <si>
    <t>Gold Clk Factor</t>
  </si>
  <si>
    <t>PPC Vol %</t>
  </si>
  <si>
    <t>Gold Vol %</t>
  </si>
  <si>
    <t>F2R Vol %</t>
  </si>
  <si>
    <t>PSC Vol %</t>
  </si>
  <si>
    <t>ppc Prdn</t>
  </si>
  <si>
    <t>PSC Prdn</t>
  </si>
  <si>
    <t>F2R Prdn</t>
  </si>
  <si>
    <t>Gold prdn</t>
  </si>
  <si>
    <t>Clk power</t>
  </si>
  <si>
    <t xml:space="preserve">Grinding power </t>
  </si>
  <si>
    <t>TSR</t>
  </si>
  <si>
    <t>Budget</t>
  </si>
  <si>
    <t>SEEC, Mines</t>
  </si>
  <si>
    <t>SEEC, Crusher</t>
  </si>
  <si>
    <t>Total SEEC</t>
  </si>
  <si>
    <t>Aux</t>
  </si>
  <si>
    <t>Day Variation</t>
  </si>
  <si>
    <t>Day Target</t>
  </si>
  <si>
    <t>MTD Budget</t>
  </si>
  <si>
    <t>MTD Act</t>
  </si>
  <si>
    <t xml:space="preserve">Day Actual </t>
  </si>
  <si>
    <t>MTD Varation</t>
  </si>
  <si>
    <t>SEEEC, RP SEP FAN</t>
  </si>
  <si>
    <t>SEEC,Aux</t>
  </si>
  <si>
    <t>RP TOTAL SEEC</t>
  </si>
  <si>
    <t>RP2 RH</t>
  </si>
  <si>
    <t>RP1 RH</t>
  </si>
  <si>
    <t>RP1 TPH</t>
  </si>
  <si>
    <t>RP2 TPH</t>
  </si>
  <si>
    <t>SEEC, RP1 MD1</t>
  </si>
  <si>
    <t>SEEC, RP2 MD2</t>
  </si>
  <si>
    <t>SEEC, RP2 MD1</t>
  </si>
  <si>
    <t>CF dilo stock</t>
  </si>
  <si>
    <t>RP1 PRDN</t>
  </si>
  <si>
    <t>RP2 PRDN</t>
  </si>
  <si>
    <t>SEEC, MD1</t>
  </si>
  <si>
    <t>SEEC, PH FAN</t>
  </si>
  <si>
    <t>SEEC, BH FAN</t>
  </si>
  <si>
    <t>SEEC, ESP FAN</t>
  </si>
  <si>
    <t>SEEC, COOLER FANS</t>
  </si>
  <si>
    <t>SEEC,AFR</t>
  </si>
  <si>
    <t>SEEC AUX</t>
  </si>
  <si>
    <t>SEEC TOTAL</t>
  </si>
  <si>
    <t>AFR USED</t>
  </si>
  <si>
    <t>ASKING RATE</t>
  </si>
  <si>
    <t>SEEC, MILL FAN</t>
  </si>
  <si>
    <t># CO2 CYL EMPPTY</t>
  </si>
  <si>
    <t>SEEC BM1</t>
  </si>
  <si>
    <t>SEEC BM2</t>
  </si>
  <si>
    <t>SEEC BM3</t>
  </si>
  <si>
    <t>CPP SHR</t>
  </si>
  <si>
    <t>CPP AUX</t>
  </si>
  <si>
    <t>WHRS AVG MW</t>
  </si>
  <si>
    <t>WHRS AUX</t>
  </si>
  <si>
    <t>CPP %</t>
  </si>
  <si>
    <t>WHRS %</t>
  </si>
  <si>
    <t>GRID %</t>
  </si>
  <si>
    <t>SOLAR %</t>
  </si>
  <si>
    <t>PRDN BM1</t>
  </si>
  <si>
    <t>PRDN BM2</t>
  </si>
  <si>
    <t>PRDN BM3</t>
  </si>
  <si>
    <t>PRDN BM4</t>
  </si>
  <si>
    <t>PRDN BM5</t>
  </si>
  <si>
    <t>PRDN BM6</t>
  </si>
  <si>
    <t>SEEC BM4</t>
  </si>
  <si>
    <t>SEEC BM5</t>
  </si>
  <si>
    <t>SEEC BM6</t>
  </si>
  <si>
    <t>MILL AUX</t>
  </si>
  <si>
    <t>SD/CM AUX</t>
  </si>
  <si>
    <t>TOT SEEC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</si>
</sst>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0.0"/>
    <numFmt numFmtId="165" formatCode="_ * #,##0.0_ ;_ * \-#,##0.0_ ;_ * &quot;-&quot;??_ ;_ @_ "/>
    <numFmt numFmtId="166" formatCode="_ * #,##0_ ;_ * \-#,##0_ ;_ * &quot;-&quot;??_ ;_ @_ "/>
    <numFmt numFmtId="167" formatCode="#,##0_ ;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6" fontId="0" fillId="4" borderId="0" xfId="1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6" fontId="0" fillId="0" borderId="0" xfId="0" applyNumberFormat="1"/>
    <xf numFmtId="0" fontId="0" fillId="5" borderId="0" xfId="0" applyFill="1"/>
    <xf numFmtId="166" fontId="0" fillId="0" borderId="0" xfId="1" applyNumberFormat="1" applyFont="1"/>
    <xf numFmtId="0" fontId="0" fillId="6" borderId="0" xfId="0" applyFill="1"/>
    <xf numFmtId="165" fontId="0" fillId="0" borderId="0" xfId="0" applyNumberFormat="1"/>
    <xf numFmtId="43" fontId="0" fillId="4" borderId="0" xfId="1" applyNumberFormat="1" applyFont="1" applyFill="1" applyAlignment="1">
      <alignment horizontal="center"/>
    </xf>
    <xf numFmtId="166" fontId="0" fillId="4" borderId="0" xfId="0" applyNumberFormat="1" applyFill="1" applyAlignment="1">
      <alignment horizontal="center"/>
    </xf>
    <xf numFmtId="2" fontId="0" fillId="7" borderId="0" xfId="0" applyNumberFormat="1" applyFill="1"/>
    <xf numFmtId="167" fontId="0" fillId="4" borderId="0" xfId="1" applyNumberFormat="1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1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3"/>
  <sheetViews>
    <sheetView workbookViewId="0">
      <selection activeCell="N16" sqref="N16"/>
    </sheetView>
  </sheetViews>
  <sheetFormatPr defaultRowHeight="15" x14ac:dyDescent="0.25"/>
  <cols>
    <col min="1" max="1" width="4.85546875" customWidth="1"/>
    <col min="2" max="2" width="23" customWidth="1"/>
    <col min="3" max="3" width="12.28515625" customWidth="1"/>
    <col min="4" max="4" width="13.28515625" customWidth="1"/>
    <col min="5" max="5" width="12.85546875" customWidth="1"/>
    <col min="6" max="6" width="14.42578125" customWidth="1"/>
    <col min="7" max="7" width="10.5703125" bestFit="1" customWidth="1"/>
    <col min="8" max="8" width="11.7109375" bestFit="1" customWidth="1"/>
    <col min="9" max="9" width="14.7109375" bestFit="1" customWidth="1"/>
    <col min="10" max="10" width="14.7109375" customWidth="1"/>
    <col min="11" max="25" width="6" bestFit="1" customWidth="1"/>
    <col min="26" max="39" width="4.28515625" bestFit="1" customWidth="1"/>
    <col min="40" max="40" width="6" bestFit="1" customWidth="1"/>
    <col min="41" max="41" width="4.28515625" bestFit="1" customWidth="1"/>
    <col min="42" max="42" width="12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t="s">
        <v>32</v>
      </c>
      <c r="C3" s="6">
        <f>286000*1.55</f>
        <v>443300</v>
      </c>
      <c r="D3" s="15">
        <f>C3/29</f>
        <v>15286.206896551725</v>
      </c>
      <c r="E3">
        <f t="shared" ref="E3:E12" si="0">LOOKUP(2,1/(K3:AO3&lt;&gt;""),K3:AO3)</f>
        <v>12499</v>
      </c>
      <c r="F3" s="10">
        <f t="shared" ref="F3:F12" si="1">E3-D3</f>
        <v>-2787.2068965517246</v>
      </c>
      <c r="G3" s="10">
        <f>AP3</f>
        <v>179770</v>
      </c>
      <c r="H3" s="12">
        <f ca="1">D3*(DAY(TODAY())-1)</f>
        <v>259865.5172413793</v>
      </c>
      <c r="I3" s="10">
        <f t="shared" ref="I3:I8" ca="1" si="2">G3-H3</f>
        <v>-80095.517241379304</v>
      </c>
      <c r="J3" s="5">
        <f ca="1">(C3-G3)/(EOMONTH(TODAY(),0)-TODAY()+1)</f>
        <v>18823.571428571428</v>
      </c>
      <c r="K3">
        <v>11608</v>
      </c>
      <c r="L3">
        <v>11293</v>
      </c>
      <c r="M3">
        <v>14886</v>
      </c>
      <c r="N3">
        <v>14938</v>
      </c>
      <c r="O3">
        <v>11508</v>
      </c>
      <c r="P3">
        <v>13701</v>
      </c>
      <c r="Q3">
        <v>13208</v>
      </c>
      <c r="R3">
        <v>14452</v>
      </c>
      <c r="S3">
        <v>10275</v>
      </c>
      <c r="T3">
        <v>12296</v>
      </c>
      <c r="U3">
        <v>13581</v>
      </c>
      <c r="V3">
        <v>14171</v>
      </c>
      <c r="W3">
        <v>11354</v>
      </c>
      <c r="X3">
        <v>12499</v>
      </c>
      <c r="AP3" s="1">
        <f>SUM(K3:AO3)</f>
        <v>179770</v>
      </c>
    </row>
    <row r="4" spans="2:42" x14ac:dyDescent="0.25">
      <c r="B4" t="s">
        <v>33</v>
      </c>
      <c r="C4" s="7">
        <f>C3/C5</f>
        <v>328.37037037037038</v>
      </c>
      <c r="D4" s="8">
        <f>C4/29</f>
        <v>11.323116219667945</v>
      </c>
      <c r="E4">
        <f t="shared" si="0"/>
        <v>9</v>
      </c>
      <c r="F4" s="10">
        <f t="shared" si="1"/>
        <v>-2.3231162196679449</v>
      </c>
      <c r="G4" s="10">
        <f t="shared" ref="G4:G12" si="3">AP4</f>
        <v>138</v>
      </c>
      <c r="H4" s="12">
        <f ca="1">D4*(DAY(TODAY())-1)</f>
        <v>192.49297573435507</v>
      </c>
      <c r="I4" s="10">
        <f t="shared" ca="1" si="2"/>
        <v>-54.49297573435507</v>
      </c>
      <c r="J4" s="5">
        <f ca="1">(C4-G4)/(EOMONTH(TODAY(),0)-TODAY()+1)</f>
        <v>13.597883597883598</v>
      </c>
      <c r="K4">
        <v>10</v>
      </c>
      <c r="L4">
        <v>9</v>
      </c>
      <c r="M4">
        <v>11</v>
      </c>
      <c r="N4">
        <v>12</v>
      </c>
      <c r="O4">
        <v>9</v>
      </c>
      <c r="P4">
        <v>9</v>
      </c>
      <c r="Q4">
        <v>8</v>
      </c>
      <c r="R4">
        <v>12</v>
      </c>
      <c r="S4">
        <v>9</v>
      </c>
      <c r="T4">
        <v>9</v>
      </c>
      <c r="U4">
        <v>11</v>
      </c>
      <c r="V4">
        <v>10</v>
      </c>
      <c r="W4">
        <v>10</v>
      </c>
      <c r="X4">
        <v>9</v>
      </c>
      <c r="AP4" s="1">
        <f>SUM(K4:AO4)</f>
        <v>138</v>
      </c>
    </row>
    <row r="5" spans="2:42" x14ac:dyDescent="0.25">
      <c r="B5" t="s">
        <v>34</v>
      </c>
      <c r="C5" s="9">
        <v>1350</v>
      </c>
      <c r="D5" s="9">
        <v>1350</v>
      </c>
      <c r="E5" s="4">
        <f t="shared" si="0"/>
        <v>1388.7777777777778</v>
      </c>
      <c r="F5" s="10">
        <f t="shared" si="1"/>
        <v>38.777777777777828</v>
      </c>
      <c r="G5" s="10">
        <f t="shared" ca="1" si="3"/>
        <v>60</v>
      </c>
      <c r="H5" s="7">
        <f>C5</f>
        <v>1350</v>
      </c>
      <c r="I5" s="10">
        <f t="shared" ca="1" si="2"/>
        <v>-1290</v>
      </c>
      <c r="J5" s="5">
        <f ca="1">J3/J4</f>
        <v>1384.3015564202333</v>
      </c>
      <c r="K5" s="7">
        <v>1160.8</v>
      </c>
      <c r="L5" s="7">
        <v>1254.7777777777778</v>
      </c>
      <c r="M5" s="7">
        <v>1353.2727272727273</v>
      </c>
      <c r="N5" s="7">
        <v>1244.8333333333333</v>
      </c>
      <c r="O5" s="7">
        <v>1278.6666666666667</v>
      </c>
      <c r="P5" s="7">
        <v>1522.3333333333333</v>
      </c>
      <c r="Q5" s="7">
        <v>1651</v>
      </c>
      <c r="R5" s="7">
        <v>1204.3333333333333</v>
      </c>
      <c r="S5" s="7">
        <v>1141.6666666666667</v>
      </c>
      <c r="T5" s="7">
        <v>1366.2222222222222</v>
      </c>
      <c r="U5" s="7">
        <v>1234.6363636363637</v>
      </c>
      <c r="V5" s="7">
        <v>1417.1</v>
      </c>
      <c r="W5" s="7">
        <v>1135.4000000000001</v>
      </c>
      <c r="X5" s="7">
        <v>1388.7777777777778</v>
      </c>
      <c r="Y5" s="7"/>
      <c r="AP5">
        <f ca="1">RANDBETWEEN(50,80)</f>
        <v>60</v>
      </c>
    </row>
    <row r="6" spans="2:42" x14ac:dyDescent="0.25">
      <c r="B6" t="s">
        <v>35</v>
      </c>
      <c r="C6" s="9">
        <v>60</v>
      </c>
      <c r="D6" s="9">
        <v>2</v>
      </c>
      <c r="E6">
        <f t="shared" si="0"/>
        <v>1</v>
      </c>
      <c r="F6" s="10">
        <f t="shared" si="1"/>
        <v>-1</v>
      </c>
      <c r="G6" s="10">
        <f t="shared" si="3"/>
        <v>42</v>
      </c>
      <c r="H6" s="12">
        <f ca="1">D6*(DAY(TODAY())-1)</f>
        <v>34</v>
      </c>
      <c r="I6" s="10">
        <f t="shared" ca="1" si="2"/>
        <v>8</v>
      </c>
      <c r="J6" s="3"/>
      <c r="K6">
        <v>4</v>
      </c>
      <c r="L6">
        <v>2</v>
      </c>
      <c r="M6">
        <v>5</v>
      </c>
      <c r="N6">
        <v>2</v>
      </c>
      <c r="O6">
        <v>4</v>
      </c>
      <c r="P6">
        <v>1</v>
      </c>
      <c r="Q6">
        <v>4</v>
      </c>
      <c r="R6">
        <v>3</v>
      </c>
      <c r="S6">
        <v>1</v>
      </c>
      <c r="T6">
        <v>3</v>
      </c>
      <c r="U6">
        <v>5</v>
      </c>
      <c r="V6">
        <v>2</v>
      </c>
      <c r="W6">
        <v>5</v>
      </c>
      <c r="X6">
        <v>1</v>
      </c>
      <c r="AP6" s="1">
        <f>SUM(K6:AO6)</f>
        <v>42</v>
      </c>
    </row>
    <row r="7" spans="2:42" x14ac:dyDescent="0.25">
      <c r="B7" t="s">
        <v>36</v>
      </c>
      <c r="C7" s="9">
        <v>0</v>
      </c>
      <c r="D7" s="9">
        <v>0</v>
      </c>
      <c r="E7">
        <f t="shared" si="0"/>
        <v>1</v>
      </c>
      <c r="F7" s="10">
        <f t="shared" si="1"/>
        <v>1</v>
      </c>
      <c r="G7" s="10">
        <f t="shared" si="3"/>
        <v>10</v>
      </c>
      <c r="H7" s="12">
        <f ca="1">D7*(DAY(TODAY())-1)</f>
        <v>0</v>
      </c>
      <c r="I7" s="10">
        <f t="shared" ca="1" si="2"/>
        <v>10</v>
      </c>
      <c r="J7" s="3"/>
      <c r="K7">
        <v>1</v>
      </c>
      <c r="L7">
        <v>2</v>
      </c>
      <c r="M7">
        <v>0</v>
      </c>
      <c r="N7">
        <v>0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2</v>
      </c>
      <c r="V7">
        <v>0</v>
      </c>
      <c r="W7">
        <v>0</v>
      </c>
      <c r="X7">
        <v>1</v>
      </c>
      <c r="AP7" s="1">
        <f>SUM(K7:AO7)</f>
        <v>10</v>
      </c>
    </row>
    <row r="8" spans="2:42" x14ac:dyDescent="0.25">
      <c r="B8" t="s">
        <v>60</v>
      </c>
      <c r="C8" s="9">
        <v>0.25</v>
      </c>
      <c r="D8" s="9">
        <v>0.25</v>
      </c>
      <c r="E8">
        <f t="shared" si="0"/>
        <v>2</v>
      </c>
      <c r="F8" s="10">
        <f t="shared" si="1"/>
        <v>1.75</v>
      </c>
      <c r="G8" s="10">
        <f t="shared" si="3"/>
        <v>2.0645713967847805</v>
      </c>
      <c r="H8" s="10">
        <f>C8</f>
        <v>0.25</v>
      </c>
      <c r="I8" s="10">
        <f t="shared" si="2"/>
        <v>1.8145713967847805</v>
      </c>
      <c r="J8" s="3"/>
      <c r="K8" s="4">
        <v>3</v>
      </c>
      <c r="L8" s="4">
        <v>2</v>
      </c>
      <c r="M8" s="4">
        <v>2</v>
      </c>
      <c r="N8" s="4">
        <v>2</v>
      </c>
      <c r="O8" s="4">
        <v>2</v>
      </c>
      <c r="P8" s="4">
        <v>2</v>
      </c>
      <c r="Q8" s="4">
        <v>2</v>
      </c>
      <c r="R8" s="4">
        <v>2</v>
      </c>
      <c r="S8" s="4">
        <v>2</v>
      </c>
      <c r="T8" s="4">
        <v>2</v>
      </c>
      <c r="U8" s="4">
        <v>2</v>
      </c>
      <c r="V8" s="4">
        <v>2</v>
      </c>
      <c r="W8" s="4">
        <v>2</v>
      </c>
      <c r="X8" s="4">
        <v>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">
        <f>SUMPRODUCT(K3:AO3,K8:AO8)/AP3</f>
        <v>2.0645713967847805</v>
      </c>
    </row>
    <row r="9" spans="2:42" x14ac:dyDescent="0.25">
      <c r="B9" t="s">
        <v>61</v>
      </c>
      <c r="C9" s="9">
        <v>0.7</v>
      </c>
      <c r="D9" s="9">
        <v>0.7</v>
      </c>
      <c r="E9">
        <f t="shared" si="0"/>
        <v>2</v>
      </c>
      <c r="F9" s="10">
        <f t="shared" si="1"/>
        <v>1.3</v>
      </c>
      <c r="G9" s="10">
        <f t="shared" si="3"/>
        <v>3</v>
      </c>
      <c r="H9" s="14">
        <f t="shared" ref="H9:H11" si="4">C9</f>
        <v>0.7</v>
      </c>
      <c r="I9" s="10">
        <f t="shared" ref="I9" si="5">G9-H9</f>
        <v>2.2999999999999998</v>
      </c>
      <c r="J9" s="3"/>
      <c r="K9" s="4">
        <v>2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2</v>
      </c>
      <c r="R9" s="4">
        <v>2</v>
      </c>
      <c r="S9" s="4">
        <v>2</v>
      </c>
      <c r="T9" s="4">
        <v>2</v>
      </c>
      <c r="U9" s="4">
        <v>2</v>
      </c>
      <c r="V9" s="4">
        <v>2</v>
      </c>
      <c r="W9" s="4">
        <v>2</v>
      </c>
      <c r="X9" s="4">
        <v>2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">
        <v>3</v>
      </c>
    </row>
    <row r="10" spans="2:42" x14ac:dyDescent="0.25">
      <c r="B10" t="s">
        <v>63</v>
      </c>
      <c r="C10" s="9">
        <v>0.7</v>
      </c>
      <c r="D10" s="9">
        <v>0.7</v>
      </c>
      <c r="E10">
        <f t="shared" si="0"/>
        <v>2</v>
      </c>
      <c r="F10" s="10">
        <f t="shared" si="1"/>
        <v>1.3</v>
      </c>
      <c r="G10" s="10">
        <f t="shared" si="3"/>
        <v>3.2</v>
      </c>
      <c r="H10" s="14">
        <f t="shared" si="4"/>
        <v>0.7</v>
      </c>
      <c r="I10" s="10">
        <f t="shared" ref="I10:I11" si="6">G10-H10</f>
        <v>2.5</v>
      </c>
      <c r="J10" s="3"/>
      <c r="K10" s="4">
        <v>3</v>
      </c>
      <c r="L10" s="4">
        <v>2</v>
      </c>
      <c r="M10" s="4">
        <v>2</v>
      </c>
      <c r="N10" s="4">
        <v>2</v>
      </c>
      <c r="O10" s="4">
        <v>2</v>
      </c>
      <c r="P10" s="4">
        <v>2</v>
      </c>
      <c r="Q10" s="4">
        <v>2</v>
      </c>
      <c r="R10" s="4">
        <v>2</v>
      </c>
      <c r="S10" s="4">
        <v>2</v>
      </c>
      <c r="T10" s="4">
        <v>2</v>
      </c>
      <c r="U10" s="4">
        <v>2</v>
      </c>
      <c r="V10" s="4">
        <v>2</v>
      </c>
      <c r="W10" s="4">
        <v>2</v>
      </c>
      <c r="X10" s="4">
        <v>2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">
        <v>3.2</v>
      </c>
    </row>
    <row r="11" spans="2:42" x14ac:dyDescent="0.25">
      <c r="B11" t="s">
        <v>62</v>
      </c>
      <c r="C11" s="9">
        <f>SUM(C8:C10)</f>
        <v>1.65</v>
      </c>
      <c r="D11" s="9">
        <v>1.65</v>
      </c>
      <c r="E11">
        <f t="shared" si="0"/>
        <v>2</v>
      </c>
      <c r="F11" s="10">
        <f t="shared" si="1"/>
        <v>0.35000000000000009</v>
      </c>
      <c r="G11" s="10">
        <f t="shared" si="3"/>
        <v>2</v>
      </c>
      <c r="H11" s="14">
        <f t="shared" si="4"/>
        <v>1.65</v>
      </c>
      <c r="I11" s="10">
        <f t="shared" si="6"/>
        <v>0.35000000000000009</v>
      </c>
      <c r="J11" s="3"/>
      <c r="K11" s="4">
        <v>2</v>
      </c>
      <c r="L11" s="4">
        <v>2</v>
      </c>
      <c r="M11" s="4">
        <v>2</v>
      </c>
      <c r="N11" s="4">
        <v>2</v>
      </c>
      <c r="O11" s="4">
        <v>2</v>
      </c>
      <c r="P11" s="4">
        <v>2</v>
      </c>
      <c r="Q11" s="4">
        <v>2</v>
      </c>
      <c r="R11" s="4">
        <v>2</v>
      </c>
      <c r="S11" s="4">
        <v>2</v>
      </c>
      <c r="T11" s="4">
        <v>2</v>
      </c>
      <c r="U11" s="4">
        <v>2</v>
      </c>
      <c r="V11" s="4">
        <v>2</v>
      </c>
      <c r="W11" s="4">
        <v>2</v>
      </c>
      <c r="X11" s="4">
        <v>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">
        <v>2</v>
      </c>
    </row>
    <row r="12" spans="2:42" x14ac:dyDescent="0.25">
      <c r="B12" t="s">
        <v>37</v>
      </c>
      <c r="C12" s="9">
        <v>0</v>
      </c>
      <c r="D12" s="9">
        <v>0</v>
      </c>
      <c r="E12">
        <f t="shared" si="0"/>
        <v>5</v>
      </c>
      <c r="F12" s="10">
        <f t="shared" si="1"/>
        <v>5</v>
      </c>
      <c r="G12" s="10">
        <f t="shared" si="3"/>
        <v>0</v>
      </c>
      <c r="H12" s="10">
        <v>0</v>
      </c>
      <c r="I12" s="10">
        <f>G12-H12</f>
        <v>0</v>
      </c>
      <c r="J12" s="3"/>
      <c r="K12">
        <v>4</v>
      </c>
      <c r="L12">
        <v>5</v>
      </c>
      <c r="M12">
        <v>4</v>
      </c>
      <c r="N12">
        <v>5</v>
      </c>
      <c r="O12">
        <v>5</v>
      </c>
      <c r="P12">
        <v>4</v>
      </c>
      <c r="Q12">
        <v>2</v>
      </c>
      <c r="R12">
        <v>3</v>
      </c>
      <c r="S12">
        <v>2</v>
      </c>
      <c r="T12">
        <v>2</v>
      </c>
      <c r="U12">
        <v>3</v>
      </c>
      <c r="V12">
        <v>5</v>
      </c>
      <c r="W12">
        <v>2</v>
      </c>
      <c r="X12">
        <v>5</v>
      </c>
      <c r="AP12">
        <f>AO12</f>
        <v>0</v>
      </c>
    </row>
    <row r="13" spans="2:42" x14ac:dyDescent="0.25">
      <c r="AP13" s="4"/>
    </row>
  </sheetData>
  <pageMargins left="0.7" right="0.7" top="0.75" bottom="0.75" header="0.3" footer="0.3"/>
  <ignoredErrors>
    <ignoredError sqref="C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0"/>
  <sheetViews>
    <sheetView topLeftCell="B1" workbookViewId="0">
      <selection activeCell="P25" sqref="P25"/>
    </sheetView>
  </sheetViews>
  <sheetFormatPr defaultRowHeight="15" x14ac:dyDescent="0.25"/>
  <cols>
    <col min="2" max="2" width="17.28515625" customWidth="1"/>
    <col min="4" max="4" width="10" bestFit="1" customWidth="1"/>
    <col min="9" max="9" width="13.140625" bestFit="1" customWidth="1"/>
    <col min="11" max="23" width="6" bestFit="1" customWidth="1"/>
    <col min="24" max="41" width="4.28515625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t="s">
        <v>32</v>
      </c>
      <c r="C3" s="6">
        <f>286000*1.55</f>
        <v>443300</v>
      </c>
      <c r="D3" s="15">
        <f>C3/29</f>
        <v>15286.206896551725</v>
      </c>
      <c r="E3">
        <f t="shared" ref="E3:E12" si="0">LOOKUP(2,1/(K3:AO3&lt;&gt;""),K3:AO3)</f>
        <v>14076</v>
      </c>
      <c r="F3" s="10">
        <f>E3-D3</f>
        <v>-1210.2068965517246</v>
      </c>
      <c r="G3" s="10">
        <f>AP3</f>
        <v>155249</v>
      </c>
      <c r="H3" s="12">
        <f ca="1">D3*(DAY(TODAY())-1)</f>
        <v>259865.5172413793</v>
      </c>
      <c r="I3" s="10">
        <f t="shared" ref="I3:I12" ca="1" si="1">G3-H3</f>
        <v>-104616.5172413793</v>
      </c>
      <c r="J3" s="5">
        <f ca="1">(C3-G3)/(EOMONTH(TODAY(),0)-TODAY()+1)</f>
        <v>20575.071428571428</v>
      </c>
      <c r="K3">
        <v>11994</v>
      </c>
      <c r="L3">
        <v>11957</v>
      </c>
      <c r="M3">
        <v>13079</v>
      </c>
      <c r="N3">
        <v>10625</v>
      </c>
      <c r="O3">
        <v>10851</v>
      </c>
      <c r="P3">
        <v>10987</v>
      </c>
      <c r="Q3">
        <v>10604</v>
      </c>
      <c r="R3">
        <v>11603</v>
      </c>
      <c r="S3">
        <v>12005</v>
      </c>
      <c r="T3">
        <v>10441</v>
      </c>
      <c r="U3">
        <v>12711</v>
      </c>
      <c r="V3">
        <v>14316</v>
      </c>
      <c r="W3">
        <v>14076</v>
      </c>
      <c r="AP3" s="1">
        <f>SUM(K3:AO3)</f>
        <v>155249</v>
      </c>
    </row>
    <row r="4" spans="2:42" x14ac:dyDescent="0.25">
      <c r="B4" t="s">
        <v>81</v>
      </c>
      <c r="C4" s="6">
        <f>286000*1.55/2</f>
        <v>221650</v>
      </c>
      <c r="D4" s="15">
        <f t="shared" ref="D4:D9" si="2">C4/29</f>
        <v>7643.1034482758623</v>
      </c>
      <c r="E4">
        <f t="shared" ref="E4:E5" si="3">LOOKUP(2,1/(K4:AO4&lt;&gt;""),K4:AO4)</f>
        <v>6979</v>
      </c>
      <c r="F4" s="10">
        <f t="shared" ref="F4:F5" si="4">E4-D4</f>
        <v>-664.10344827586232</v>
      </c>
      <c r="G4" s="10">
        <f t="shared" ref="G4:G20" si="5">AP4</f>
        <v>92752</v>
      </c>
      <c r="H4" s="12">
        <f t="shared" ref="H4:H5" ca="1" si="6">D4*(DAY(TODAY())-1)</f>
        <v>129932.75862068965</v>
      </c>
      <c r="I4" s="10">
        <f t="shared" ref="I4:I5" ca="1" si="7">G4-H4</f>
        <v>-37180.758620689652</v>
      </c>
      <c r="J4" s="5">
        <f t="shared" ref="J4:J7" ca="1" si="8">(C4-G4)/(EOMONTH(TODAY(),0)-TODAY()+1)</f>
        <v>9207</v>
      </c>
      <c r="K4">
        <v>6951</v>
      </c>
      <c r="L4">
        <v>7946</v>
      </c>
      <c r="M4">
        <v>7211</v>
      </c>
      <c r="N4">
        <v>7370</v>
      </c>
      <c r="O4">
        <v>6725</v>
      </c>
      <c r="P4">
        <v>6152</v>
      </c>
      <c r="Q4">
        <v>7086</v>
      </c>
      <c r="R4">
        <v>6900</v>
      </c>
      <c r="S4">
        <v>6909</v>
      </c>
      <c r="T4">
        <v>7748</v>
      </c>
      <c r="U4">
        <v>7611</v>
      </c>
      <c r="V4">
        <v>7164</v>
      </c>
      <c r="W4">
        <v>6979</v>
      </c>
      <c r="AP4" s="1">
        <f t="shared" ref="AP4:AP7" si="9">SUM(K4:AO4)</f>
        <v>92752</v>
      </c>
    </row>
    <row r="5" spans="2:42" x14ac:dyDescent="0.25">
      <c r="B5" t="s">
        <v>82</v>
      </c>
      <c r="C5" s="6">
        <f>286000*1.55/2</f>
        <v>221650</v>
      </c>
      <c r="D5" s="15">
        <f t="shared" si="2"/>
        <v>7643.1034482758623</v>
      </c>
      <c r="E5">
        <f t="shared" si="3"/>
        <v>6715</v>
      </c>
      <c r="F5" s="10">
        <f t="shared" si="4"/>
        <v>-928.10344827586232</v>
      </c>
      <c r="G5" s="10">
        <f t="shared" si="5"/>
        <v>90321</v>
      </c>
      <c r="H5" s="12">
        <f t="shared" ca="1" si="6"/>
        <v>129932.75862068965</v>
      </c>
      <c r="I5" s="10">
        <f t="shared" ca="1" si="7"/>
        <v>-39611.758620689652</v>
      </c>
      <c r="J5" s="5">
        <f t="shared" ca="1" si="8"/>
        <v>9380.6428571428569</v>
      </c>
      <c r="K5">
        <v>7800</v>
      </c>
      <c r="L5">
        <v>6528</v>
      </c>
      <c r="M5">
        <v>7578</v>
      </c>
      <c r="N5">
        <v>6707</v>
      </c>
      <c r="O5">
        <v>7848</v>
      </c>
      <c r="P5">
        <v>6655</v>
      </c>
      <c r="Q5">
        <v>6706</v>
      </c>
      <c r="R5">
        <v>6244</v>
      </c>
      <c r="S5">
        <v>6867</v>
      </c>
      <c r="T5">
        <v>6074</v>
      </c>
      <c r="U5">
        <v>7653</v>
      </c>
      <c r="V5">
        <v>6946</v>
      </c>
      <c r="W5">
        <v>6715</v>
      </c>
      <c r="AP5" s="1">
        <f t="shared" si="9"/>
        <v>90321</v>
      </c>
    </row>
    <row r="6" spans="2:42" x14ac:dyDescent="0.25">
      <c r="B6" t="s">
        <v>74</v>
      </c>
      <c r="C6" s="7">
        <v>650</v>
      </c>
      <c r="D6" s="15">
        <f t="shared" si="2"/>
        <v>22.413793103448278</v>
      </c>
      <c r="E6">
        <f t="shared" si="0"/>
        <v>19</v>
      </c>
      <c r="F6" s="10">
        <f t="shared" ref="F6:F20" si="10">E6-D6</f>
        <v>-3.4137931034482776</v>
      </c>
      <c r="G6" s="10">
        <f t="shared" si="5"/>
        <v>253</v>
      </c>
      <c r="H6" s="12">
        <f ca="1">D6*(DAY(TODAY())-1)</f>
        <v>381.0344827586207</v>
      </c>
      <c r="I6" s="10">
        <f t="shared" ca="1" si="1"/>
        <v>-128.0344827586207</v>
      </c>
      <c r="J6" s="5"/>
      <c r="K6">
        <v>22</v>
      </c>
      <c r="L6">
        <v>19</v>
      </c>
      <c r="M6">
        <v>18</v>
      </c>
      <c r="N6">
        <v>18</v>
      </c>
      <c r="O6">
        <v>20</v>
      </c>
      <c r="P6">
        <v>21</v>
      </c>
      <c r="Q6">
        <v>20</v>
      </c>
      <c r="R6">
        <v>19</v>
      </c>
      <c r="S6">
        <v>20</v>
      </c>
      <c r="T6">
        <v>19</v>
      </c>
      <c r="U6">
        <v>19</v>
      </c>
      <c r="V6">
        <v>19</v>
      </c>
      <c r="W6">
        <v>19</v>
      </c>
      <c r="AP6" s="1">
        <f t="shared" si="9"/>
        <v>253</v>
      </c>
    </row>
    <row r="7" spans="2:42" x14ac:dyDescent="0.25">
      <c r="B7" t="s">
        <v>73</v>
      </c>
      <c r="C7" s="7">
        <v>635</v>
      </c>
      <c r="D7" s="15">
        <f t="shared" si="2"/>
        <v>21.896551724137932</v>
      </c>
      <c r="E7">
        <f t="shared" ref="E7" si="11">LOOKUP(2,1/(K7:AO7&lt;&gt;""),K7:AO7)</f>
        <v>22</v>
      </c>
      <c r="F7" s="10">
        <f t="shared" ref="F7" si="12">E7-D7</f>
        <v>0.10344827586206762</v>
      </c>
      <c r="G7" s="10">
        <f t="shared" si="5"/>
        <v>258</v>
      </c>
      <c r="H7" s="12">
        <f ca="1">D7*(DAY(TODAY())-1)</f>
        <v>372.24137931034483</v>
      </c>
      <c r="I7" s="10">
        <f t="shared" ref="I7" ca="1" si="13">G7-H7</f>
        <v>-114.24137931034483</v>
      </c>
      <c r="J7" s="5"/>
      <c r="K7">
        <v>20</v>
      </c>
      <c r="L7">
        <v>18</v>
      </c>
      <c r="M7">
        <v>21</v>
      </c>
      <c r="N7">
        <v>18</v>
      </c>
      <c r="O7">
        <v>19</v>
      </c>
      <c r="P7">
        <v>21</v>
      </c>
      <c r="Q7">
        <v>21</v>
      </c>
      <c r="R7">
        <v>18</v>
      </c>
      <c r="S7">
        <v>20</v>
      </c>
      <c r="T7">
        <v>21</v>
      </c>
      <c r="U7">
        <v>18</v>
      </c>
      <c r="V7">
        <v>21</v>
      </c>
      <c r="W7">
        <v>22</v>
      </c>
      <c r="AP7" s="1">
        <f t="shared" si="9"/>
        <v>258</v>
      </c>
    </row>
    <row r="8" spans="2:42" x14ac:dyDescent="0.25">
      <c r="B8" t="s">
        <v>75</v>
      </c>
      <c r="C8" s="16">
        <f>C4/C6</f>
        <v>341</v>
      </c>
      <c r="D8" s="15">
        <f t="shared" si="2"/>
        <v>11.758620689655173</v>
      </c>
      <c r="E8" s="4">
        <f t="shared" si="0"/>
        <v>367.31578947368422</v>
      </c>
      <c r="F8" s="10">
        <f t="shared" si="10"/>
        <v>355.55716878402905</v>
      </c>
      <c r="G8" s="10">
        <f t="shared" si="5"/>
        <v>366.60869565217394</v>
      </c>
      <c r="H8" s="7">
        <f>C8</f>
        <v>341</v>
      </c>
      <c r="I8" s="10">
        <f t="shared" si="1"/>
        <v>25.608695652173935</v>
      </c>
      <c r="J8" s="5">
        <f ca="1">(C4-G4)/(EOMONTH(TODAY(),0)-TODAY()+1)/24</f>
        <v>383.625</v>
      </c>
      <c r="K8" s="16">
        <v>315.95454545454544</v>
      </c>
      <c r="L8" s="16">
        <v>418.21052631578948</v>
      </c>
      <c r="M8" s="16">
        <v>400.61111111111109</v>
      </c>
      <c r="N8" s="16">
        <v>409.44444444444446</v>
      </c>
      <c r="O8" s="16">
        <v>336.25</v>
      </c>
      <c r="P8" s="16">
        <v>292.95238095238096</v>
      </c>
      <c r="Q8" s="16">
        <v>354.3</v>
      </c>
      <c r="R8" s="16">
        <v>363.15789473684208</v>
      </c>
      <c r="S8" s="16">
        <v>345.45</v>
      </c>
      <c r="T8" s="16">
        <v>407.78947368421052</v>
      </c>
      <c r="U8" s="16">
        <v>400.57894736842104</v>
      </c>
      <c r="V8" s="16">
        <v>377.05263157894734</v>
      </c>
      <c r="W8" s="16">
        <v>367.31578947368422</v>
      </c>
      <c r="X8" s="7"/>
      <c r="AP8" s="16">
        <f t="shared" ref="AP8:AP9" si="14">AP4/AP6</f>
        <v>366.60869565217394</v>
      </c>
    </row>
    <row r="9" spans="2:42" x14ac:dyDescent="0.25">
      <c r="B9" t="s">
        <v>76</v>
      </c>
      <c r="C9" s="16">
        <f>C5/C7</f>
        <v>349.05511811023621</v>
      </c>
      <c r="D9" s="15">
        <f t="shared" si="2"/>
        <v>12.036383383111593</v>
      </c>
      <c r="E9" s="4">
        <f t="shared" si="0"/>
        <v>305.22727272727275</v>
      </c>
      <c r="F9" s="10">
        <f t="shared" si="10"/>
        <v>293.19088934416118</v>
      </c>
      <c r="G9" s="10">
        <f t="shared" si="5"/>
        <v>350.08139534883719</v>
      </c>
      <c r="H9" s="7"/>
      <c r="I9" s="10"/>
      <c r="J9" s="3">
        <f ca="1">(C5-G5)/(EOMONTH(TODAY(),0)-TODAY()+1)/24</f>
        <v>390.86011904761904</v>
      </c>
      <c r="K9" s="16">
        <v>390</v>
      </c>
      <c r="L9" s="16">
        <v>362.66666666666669</v>
      </c>
      <c r="M9" s="16">
        <v>360.85714285714283</v>
      </c>
      <c r="N9" s="16">
        <v>372.61111111111109</v>
      </c>
      <c r="O9" s="16">
        <v>413.05263157894734</v>
      </c>
      <c r="P9" s="16">
        <v>316.90476190476193</v>
      </c>
      <c r="Q9" s="16">
        <v>319.33333333333331</v>
      </c>
      <c r="R9" s="16">
        <v>346.88888888888891</v>
      </c>
      <c r="S9" s="16">
        <v>343.35</v>
      </c>
      <c r="T9" s="16">
        <v>289.23809523809524</v>
      </c>
      <c r="U9" s="16">
        <v>425.16666666666669</v>
      </c>
      <c r="V9" s="16">
        <v>330.76190476190476</v>
      </c>
      <c r="W9" s="16">
        <v>305.22727272727275</v>
      </c>
      <c r="X9" s="7"/>
      <c r="AP9" s="16">
        <f t="shared" si="14"/>
        <v>350.08139534883719</v>
      </c>
    </row>
    <row r="10" spans="2:42" x14ac:dyDescent="0.25">
      <c r="B10" t="s">
        <v>35</v>
      </c>
      <c r="C10" s="9">
        <v>60</v>
      </c>
      <c r="D10" s="9">
        <v>2</v>
      </c>
      <c r="E10">
        <f t="shared" si="0"/>
        <v>3</v>
      </c>
      <c r="F10" s="10">
        <f t="shared" si="10"/>
        <v>1</v>
      </c>
      <c r="G10" s="10">
        <f t="shared" si="5"/>
        <v>39</v>
      </c>
      <c r="H10" s="12">
        <f ca="1">D10*(DAY(TODAY())-1)</f>
        <v>34</v>
      </c>
      <c r="I10" s="10">
        <f t="shared" ca="1" si="1"/>
        <v>5</v>
      </c>
      <c r="J10" s="3"/>
      <c r="K10">
        <v>5</v>
      </c>
      <c r="L10">
        <v>3</v>
      </c>
      <c r="M10">
        <v>1</v>
      </c>
      <c r="N10">
        <v>2</v>
      </c>
      <c r="O10">
        <v>5</v>
      </c>
      <c r="P10">
        <v>3</v>
      </c>
      <c r="Q10">
        <v>4</v>
      </c>
      <c r="R10">
        <v>2</v>
      </c>
      <c r="S10">
        <v>4</v>
      </c>
      <c r="T10">
        <v>3</v>
      </c>
      <c r="U10">
        <v>3</v>
      </c>
      <c r="V10">
        <v>1</v>
      </c>
      <c r="W10">
        <v>3</v>
      </c>
      <c r="AP10" s="1">
        <f t="shared" ref="AP10:AP11" si="15">SUM(K10:AO10)</f>
        <v>39</v>
      </c>
    </row>
    <row r="11" spans="2:42" x14ac:dyDescent="0.25">
      <c r="B11" t="s">
        <v>36</v>
      </c>
      <c r="C11" s="9">
        <v>0</v>
      </c>
      <c r="D11" s="9">
        <v>0</v>
      </c>
      <c r="E11">
        <f t="shared" si="0"/>
        <v>2</v>
      </c>
      <c r="F11" s="10">
        <f t="shared" si="10"/>
        <v>2</v>
      </c>
      <c r="G11" s="10">
        <f t="shared" si="5"/>
        <v>11</v>
      </c>
      <c r="H11" s="12">
        <f ca="1">D11*(DAY(TODAY())-1)</f>
        <v>0</v>
      </c>
      <c r="I11" s="10">
        <f t="shared" ca="1" si="1"/>
        <v>11</v>
      </c>
      <c r="J11" s="3"/>
      <c r="K11">
        <v>0</v>
      </c>
      <c r="L11">
        <v>2</v>
      </c>
      <c r="M11">
        <v>0</v>
      </c>
      <c r="N11">
        <v>2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2</v>
      </c>
      <c r="V11">
        <v>1</v>
      </c>
      <c r="W11">
        <v>2</v>
      </c>
      <c r="AP11" s="1">
        <f t="shared" si="15"/>
        <v>11</v>
      </c>
    </row>
    <row r="12" spans="2:42" x14ac:dyDescent="0.25">
      <c r="B12" t="s">
        <v>77</v>
      </c>
      <c r="C12" s="9">
        <v>0.25</v>
      </c>
      <c r="D12" s="9">
        <v>0.25</v>
      </c>
      <c r="E12">
        <f t="shared" si="0"/>
        <v>7</v>
      </c>
      <c r="F12" s="10">
        <f t="shared" si="10"/>
        <v>6.75</v>
      </c>
      <c r="G12" s="10">
        <f t="shared" si="5"/>
        <v>8.063259666728932</v>
      </c>
      <c r="H12" s="10">
        <f>C12</f>
        <v>0.25</v>
      </c>
      <c r="I12" s="10">
        <f t="shared" si="1"/>
        <v>7.813259666728932</v>
      </c>
      <c r="J12" s="3"/>
      <c r="K12" s="4">
        <v>9</v>
      </c>
      <c r="L12" s="4">
        <v>8</v>
      </c>
      <c r="M12" s="4">
        <v>9</v>
      </c>
      <c r="N12" s="4">
        <v>8</v>
      </c>
      <c r="O12" s="4">
        <v>9</v>
      </c>
      <c r="P12" s="4">
        <v>7</v>
      </c>
      <c r="Q12" s="4">
        <v>9</v>
      </c>
      <c r="R12" s="4">
        <v>7</v>
      </c>
      <c r="S12" s="4">
        <v>9</v>
      </c>
      <c r="T12" s="4">
        <v>7</v>
      </c>
      <c r="U12" s="4">
        <v>9</v>
      </c>
      <c r="V12" s="4">
        <v>7</v>
      </c>
      <c r="W12" s="4">
        <v>7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17">
        <f>SUMPRODUCT(K3:AO3,K12:AO12)/AP3</f>
        <v>8.063259666728932</v>
      </c>
    </row>
    <row r="13" spans="2:42" x14ac:dyDescent="0.25">
      <c r="B13" t="s">
        <v>78</v>
      </c>
      <c r="C13" s="9">
        <v>0.25</v>
      </c>
      <c r="D13" s="9">
        <v>0.25</v>
      </c>
      <c r="E13">
        <f t="shared" ref="E13:E16" si="16">LOOKUP(2,1/(K13:AO13&lt;&gt;""),K13:AO13)</f>
        <v>9</v>
      </c>
      <c r="F13" s="10">
        <f t="shared" ref="F13:F16" si="17">E13-D13</f>
        <v>8.75</v>
      </c>
      <c r="G13" s="10">
        <f t="shared" si="5"/>
        <v>8.2010522684146974</v>
      </c>
      <c r="H13" s="10">
        <f t="shared" ref="H13:H16" si="18">C13</f>
        <v>0.25</v>
      </c>
      <c r="I13" s="10">
        <f t="shared" ref="I13:I16" si="19">G13-H13</f>
        <v>7.9510522684146974</v>
      </c>
      <c r="J13" s="3"/>
      <c r="K13" s="4">
        <v>9</v>
      </c>
      <c r="L13" s="4">
        <v>8</v>
      </c>
      <c r="M13" s="4">
        <v>7</v>
      </c>
      <c r="N13" s="4">
        <v>7</v>
      </c>
      <c r="O13" s="4">
        <v>8</v>
      </c>
      <c r="P13" s="4">
        <v>9</v>
      </c>
      <c r="Q13" s="4">
        <v>9</v>
      </c>
      <c r="R13" s="4">
        <v>9</v>
      </c>
      <c r="S13" s="4">
        <v>9</v>
      </c>
      <c r="T13" s="4">
        <v>7</v>
      </c>
      <c r="U13" s="4">
        <v>8</v>
      </c>
      <c r="V13" s="4">
        <v>8</v>
      </c>
      <c r="W13" s="4">
        <v>9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7">
        <f>SUMPRODUCT(K4:AO4,K13:AO13)/AP4</f>
        <v>8.2010522684146974</v>
      </c>
    </row>
    <row r="14" spans="2:42" x14ac:dyDescent="0.25">
      <c r="B14" t="s">
        <v>79</v>
      </c>
      <c r="C14" s="9">
        <v>0.25</v>
      </c>
      <c r="D14" s="9">
        <v>0.25</v>
      </c>
      <c r="E14">
        <f t="shared" si="16"/>
        <v>8</v>
      </c>
      <c r="F14" s="10">
        <f t="shared" si="17"/>
        <v>7.75</v>
      </c>
      <c r="G14" s="10">
        <f t="shared" si="5"/>
        <v>7.7432380066651163</v>
      </c>
      <c r="H14" s="10">
        <f t="shared" si="18"/>
        <v>0.25</v>
      </c>
      <c r="I14" s="10">
        <f t="shared" si="19"/>
        <v>7.4932380066651163</v>
      </c>
      <c r="J14" s="3"/>
      <c r="K14" s="4">
        <v>9</v>
      </c>
      <c r="L14" s="4">
        <v>7</v>
      </c>
      <c r="M14" s="4">
        <v>7</v>
      </c>
      <c r="N14" s="4">
        <v>7</v>
      </c>
      <c r="O14" s="4">
        <v>9</v>
      </c>
      <c r="P14" s="4">
        <v>7</v>
      </c>
      <c r="Q14" s="4">
        <v>7</v>
      </c>
      <c r="R14" s="4">
        <v>7</v>
      </c>
      <c r="S14" s="4">
        <v>8</v>
      </c>
      <c r="T14" s="4">
        <v>7</v>
      </c>
      <c r="U14" s="4">
        <v>9</v>
      </c>
      <c r="V14" s="4">
        <v>8</v>
      </c>
      <c r="W14" s="4">
        <v>8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17">
        <f t="shared" ref="AP14:AP15" si="20">SUMPRODUCT(K5:AO5,K14:AO14)/AP5</f>
        <v>7.7432380066651163</v>
      </c>
    </row>
    <row r="15" spans="2:42" x14ac:dyDescent="0.25">
      <c r="B15" t="s">
        <v>78</v>
      </c>
      <c r="C15" s="9">
        <v>0.25</v>
      </c>
      <c r="D15" s="9">
        <v>0.25</v>
      </c>
      <c r="E15">
        <f t="shared" si="16"/>
        <v>7</v>
      </c>
      <c r="F15" s="10">
        <f t="shared" si="17"/>
        <v>6.75</v>
      </c>
      <c r="G15" s="10">
        <f t="shared" si="5"/>
        <v>8.0750988142292481</v>
      </c>
      <c r="H15" s="10">
        <f t="shared" si="18"/>
        <v>0.25</v>
      </c>
      <c r="I15" s="10">
        <f t="shared" si="19"/>
        <v>7.8250988142292481</v>
      </c>
      <c r="J15" s="3"/>
      <c r="K15" s="4">
        <v>8</v>
      </c>
      <c r="L15" s="4">
        <v>7</v>
      </c>
      <c r="M15" s="4">
        <v>7</v>
      </c>
      <c r="N15" s="4">
        <v>9</v>
      </c>
      <c r="O15" s="4">
        <v>8</v>
      </c>
      <c r="P15" s="4">
        <v>7</v>
      </c>
      <c r="Q15" s="4">
        <v>9</v>
      </c>
      <c r="R15" s="4">
        <v>8</v>
      </c>
      <c r="S15" s="4">
        <v>9</v>
      </c>
      <c r="T15" s="4">
        <v>8</v>
      </c>
      <c r="U15" s="4">
        <v>9</v>
      </c>
      <c r="V15" s="4">
        <v>9</v>
      </c>
      <c r="W15" s="4">
        <v>7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17">
        <f t="shared" si="20"/>
        <v>8.0750988142292481</v>
      </c>
    </row>
    <row r="16" spans="2:42" x14ac:dyDescent="0.25">
      <c r="B16" t="s">
        <v>70</v>
      </c>
      <c r="C16" s="9">
        <v>0.25</v>
      </c>
      <c r="D16" s="9">
        <v>0.25</v>
      </c>
      <c r="E16">
        <f t="shared" si="16"/>
        <v>8</v>
      </c>
      <c r="F16" s="10">
        <f t="shared" si="17"/>
        <v>7.75</v>
      </c>
      <c r="G16" s="10">
        <f t="shared" si="5"/>
        <v>7.9922480620155039</v>
      </c>
      <c r="H16" s="10">
        <f t="shared" si="18"/>
        <v>0.25</v>
      </c>
      <c r="I16" s="10">
        <f t="shared" si="19"/>
        <v>7.7422480620155039</v>
      </c>
      <c r="J16" s="3"/>
      <c r="K16" s="4">
        <v>7</v>
      </c>
      <c r="L16" s="4">
        <v>9</v>
      </c>
      <c r="M16" s="4">
        <v>9</v>
      </c>
      <c r="N16" s="4">
        <v>9</v>
      </c>
      <c r="O16" s="4">
        <v>8</v>
      </c>
      <c r="P16" s="4">
        <v>7</v>
      </c>
      <c r="Q16" s="4">
        <v>9</v>
      </c>
      <c r="R16" s="4">
        <v>8</v>
      </c>
      <c r="S16" s="4">
        <v>8</v>
      </c>
      <c r="T16" s="4">
        <v>8</v>
      </c>
      <c r="U16" s="4">
        <v>7</v>
      </c>
      <c r="V16" s="4">
        <v>7</v>
      </c>
      <c r="W16" s="4">
        <v>8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17">
        <f>SUMPRODUCT(K7:AO7,K16:AO16)/AP7</f>
        <v>7.9922480620155039</v>
      </c>
    </row>
    <row r="17" spans="2:42" x14ac:dyDescent="0.25">
      <c r="B17" t="s">
        <v>71</v>
      </c>
      <c r="C17" s="9">
        <v>0.7</v>
      </c>
      <c r="D17" s="9">
        <v>0.7</v>
      </c>
      <c r="E17">
        <f>LOOKUP(2,1/(K17:AO17&lt;&gt;""),K17:AO17)</f>
        <v>2</v>
      </c>
      <c r="F17" s="10">
        <f t="shared" si="10"/>
        <v>1.3</v>
      </c>
      <c r="G17" s="10">
        <f t="shared" si="5"/>
        <v>3</v>
      </c>
      <c r="H17" s="14">
        <f t="shared" ref="H17:H18" si="21">C17</f>
        <v>0.7</v>
      </c>
      <c r="I17" s="10">
        <f>G17-H17</f>
        <v>2.2999999999999998</v>
      </c>
      <c r="J17" s="3"/>
      <c r="K17" s="4">
        <v>2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T17" s="4">
        <v>2</v>
      </c>
      <c r="U17" s="4">
        <v>2</v>
      </c>
      <c r="V17" s="4">
        <v>2</v>
      </c>
      <c r="W17" s="4">
        <v>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17">
        <v>3</v>
      </c>
    </row>
    <row r="18" spans="2:42" x14ac:dyDescent="0.25">
      <c r="B18" t="s">
        <v>72</v>
      </c>
      <c r="C18" s="9">
        <v>0.7</v>
      </c>
      <c r="D18" s="9">
        <v>0.7</v>
      </c>
      <c r="E18">
        <f>LOOKUP(2,1/(K18:AO18&lt;&gt;""),K18:AO18)</f>
        <v>2</v>
      </c>
      <c r="F18" s="10">
        <f t="shared" si="10"/>
        <v>1.3</v>
      </c>
      <c r="G18" s="10">
        <f t="shared" si="5"/>
        <v>15</v>
      </c>
      <c r="H18" s="14">
        <f t="shared" si="21"/>
        <v>0.7</v>
      </c>
      <c r="I18" s="10">
        <f t="shared" ref="I18:I19" si="22">G18-H18</f>
        <v>14.3</v>
      </c>
      <c r="J18" s="3"/>
      <c r="K18" s="4">
        <v>2</v>
      </c>
      <c r="L18" s="4">
        <v>2</v>
      </c>
      <c r="M18" s="4">
        <v>2</v>
      </c>
      <c r="N18" s="4">
        <v>2</v>
      </c>
      <c r="O18" s="4">
        <v>2</v>
      </c>
      <c r="P18" s="4">
        <v>2</v>
      </c>
      <c r="Q18" s="4">
        <v>2</v>
      </c>
      <c r="R18" s="4">
        <v>2</v>
      </c>
      <c r="S18" s="4">
        <v>2</v>
      </c>
      <c r="T18" s="4">
        <v>2</v>
      </c>
      <c r="U18" s="4">
        <v>2</v>
      </c>
      <c r="V18" s="4">
        <v>2</v>
      </c>
      <c r="W18" s="4">
        <v>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1">
        <v>15</v>
      </c>
    </row>
    <row r="19" spans="2:42" x14ac:dyDescent="0.25">
      <c r="B19" t="s">
        <v>37</v>
      </c>
      <c r="C19" s="9">
        <v>0</v>
      </c>
      <c r="D19" s="9">
        <v>0</v>
      </c>
      <c r="E19">
        <f>LOOKUP(2,1/(K19:AO19&lt;&gt;""),K19:AO19)</f>
        <v>1</v>
      </c>
      <c r="F19" s="10">
        <f t="shared" si="10"/>
        <v>1</v>
      </c>
      <c r="G19" s="10">
        <f t="shared" si="5"/>
        <v>12582</v>
      </c>
      <c r="H19" s="10">
        <v>0</v>
      </c>
      <c r="I19" s="10">
        <f t="shared" si="22"/>
        <v>12582</v>
      </c>
      <c r="J19" s="3"/>
      <c r="K19">
        <v>4</v>
      </c>
      <c r="L19">
        <v>1</v>
      </c>
      <c r="M19">
        <v>4</v>
      </c>
      <c r="N19">
        <v>2</v>
      </c>
      <c r="O19">
        <v>1</v>
      </c>
      <c r="P19">
        <v>2</v>
      </c>
      <c r="Q19">
        <v>4</v>
      </c>
      <c r="R19">
        <v>4</v>
      </c>
      <c r="S19">
        <v>3</v>
      </c>
      <c r="T19">
        <v>2</v>
      </c>
      <c r="U19">
        <v>1</v>
      </c>
      <c r="V19">
        <v>2</v>
      </c>
      <c r="W19">
        <v>1</v>
      </c>
      <c r="AP19">
        <f>E20</f>
        <v>12582</v>
      </c>
    </row>
    <row r="20" spans="2:42" x14ac:dyDescent="0.25">
      <c r="B20" t="s">
        <v>80</v>
      </c>
      <c r="C20" s="9">
        <v>15000</v>
      </c>
      <c r="D20" s="9">
        <v>15000</v>
      </c>
      <c r="E20">
        <f>LOOKUP(2,1/(K20:AO20&lt;&gt;""),K20:AO20)</f>
        <v>12582</v>
      </c>
      <c r="F20" s="10">
        <f t="shared" si="10"/>
        <v>-2418</v>
      </c>
      <c r="G20" s="10">
        <f t="shared" si="5"/>
        <v>0</v>
      </c>
      <c r="I20">
        <v>15000</v>
      </c>
      <c r="J20" s="3"/>
      <c r="K20">
        <v>15000</v>
      </c>
      <c r="L20">
        <v>15000</v>
      </c>
      <c r="M20">
        <v>15000</v>
      </c>
      <c r="N20">
        <v>15000</v>
      </c>
      <c r="O20">
        <v>15000</v>
      </c>
      <c r="P20">
        <v>15000</v>
      </c>
      <c r="Q20">
        <v>15000</v>
      </c>
      <c r="R20">
        <v>15000</v>
      </c>
      <c r="S20">
        <v>15000</v>
      </c>
      <c r="T20">
        <v>15000</v>
      </c>
      <c r="U20">
        <v>15000</v>
      </c>
      <c r="V20">
        <v>15000</v>
      </c>
      <c r="W20">
        <v>12582</v>
      </c>
      <c r="AP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8"/>
  <sheetViews>
    <sheetView topLeftCell="B1" workbookViewId="0">
      <selection activeCell="K28" sqref="K28"/>
    </sheetView>
  </sheetViews>
  <sheetFormatPr defaultRowHeight="15" x14ac:dyDescent="0.25"/>
  <cols>
    <col min="2" max="2" width="17.28515625" customWidth="1"/>
    <col min="9" max="9" width="13.85546875" customWidth="1"/>
    <col min="11" max="23" width="6" bestFit="1" customWidth="1"/>
    <col min="24" max="41" width="4.28515625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t="s">
        <v>32</v>
      </c>
      <c r="C3" s="6">
        <v>286000</v>
      </c>
      <c r="D3" s="15">
        <f>C3/29</f>
        <v>9862.0689655172409</v>
      </c>
      <c r="E3">
        <f t="shared" ref="E3:E16" si="0">LOOKUP(2,1/(K3:AO3&lt;&gt;""),K3:AO3)</f>
        <v>12983</v>
      </c>
      <c r="F3" s="10">
        <f>E3-D3</f>
        <v>3120.9310344827591</v>
      </c>
      <c r="G3" s="10">
        <f>AP3</f>
        <v>156860</v>
      </c>
      <c r="H3" s="12">
        <f ca="1">D3*(DAY(TODAY())-1)</f>
        <v>167655.1724137931</v>
      </c>
      <c r="I3" s="10">
        <f t="shared" ref="I3:I18" ca="1" si="1">G3-H3</f>
        <v>-10795.172413793101</v>
      </c>
      <c r="J3" s="5">
        <f ca="1">(C3-G3)/(EOMONTH(TODAY(),0)-TODAY()+1)</f>
        <v>9224.2857142857138</v>
      </c>
      <c r="K3">
        <v>12975</v>
      </c>
      <c r="L3">
        <v>2565</v>
      </c>
      <c r="M3">
        <v>14133</v>
      </c>
      <c r="N3">
        <v>11838</v>
      </c>
      <c r="O3">
        <v>10682</v>
      </c>
      <c r="P3">
        <v>14910</v>
      </c>
      <c r="Q3">
        <v>12985</v>
      </c>
      <c r="R3">
        <v>13575</v>
      </c>
      <c r="S3">
        <v>12654</v>
      </c>
      <c r="T3">
        <v>11668</v>
      </c>
      <c r="U3">
        <v>11228</v>
      </c>
      <c r="V3">
        <v>14664</v>
      </c>
      <c r="W3">
        <v>12983</v>
      </c>
      <c r="AP3" s="1">
        <f>SUM(K3:AO3)</f>
        <v>156860</v>
      </c>
    </row>
    <row r="4" spans="2:42" x14ac:dyDescent="0.25">
      <c r="B4" t="s">
        <v>33</v>
      </c>
      <c r="C4" s="6">
        <v>700</v>
      </c>
      <c r="D4" s="15">
        <f>C4/29</f>
        <v>24.137931034482758</v>
      </c>
      <c r="E4">
        <f t="shared" si="0"/>
        <v>24</v>
      </c>
      <c r="F4" s="10">
        <f t="shared" ref="F4:F18" si="2">E4-D4</f>
        <v>-0.13793103448275801</v>
      </c>
      <c r="G4" s="10">
        <f>AP4</f>
        <v>312</v>
      </c>
      <c r="H4" s="12">
        <f ca="1">D4*(DAY(TODAY())-1)</f>
        <v>410.34482758620686</v>
      </c>
      <c r="I4" s="10">
        <f t="shared" ca="1" si="1"/>
        <v>-98.344827586206861</v>
      </c>
      <c r="J4" s="3"/>
      <c r="K4">
        <v>24</v>
      </c>
      <c r="L4">
        <v>24</v>
      </c>
      <c r="M4">
        <v>24</v>
      </c>
      <c r="N4">
        <v>24</v>
      </c>
      <c r="O4">
        <v>24</v>
      </c>
      <c r="P4">
        <v>24</v>
      </c>
      <c r="Q4">
        <v>24</v>
      </c>
      <c r="R4">
        <v>24</v>
      </c>
      <c r="S4">
        <v>24</v>
      </c>
      <c r="T4">
        <v>24</v>
      </c>
      <c r="U4">
        <v>24</v>
      </c>
      <c r="V4">
        <v>24</v>
      </c>
      <c r="W4">
        <v>24</v>
      </c>
      <c r="AP4" s="1">
        <f>SUM(K4:AO4)</f>
        <v>312</v>
      </c>
    </row>
    <row r="5" spans="2:42" x14ac:dyDescent="0.25">
      <c r="B5" t="s">
        <v>35</v>
      </c>
      <c r="C5" s="9">
        <v>0</v>
      </c>
      <c r="D5" s="9">
        <v>0</v>
      </c>
      <c r="E5">
        <f t="shared" si="0"/>
        <v>2</v>
      </c>
      <c r="F5" s="10">
        <f t="shared" si="2"/>
        <v>2</v>
      </c>
      <c r="G5" s="10">
        <f t="shared" ref="G5:G18" si="3">AP5</f>
        <v>33</v>
      </c>
      <c r="H5" s="12">
        <f t="shared" ref="H5:H18" ca="1" si="4">D5*(DAY(TODAY())-1)</f>
        <v>0</v>
      </c>
      <c r="I5" s="10">
        <f t="shared" ca="1" si="1"/>
        <v>33</v>
      </c>
      <c r="J5" s="3"/>
      <c r="K5">
        <v>1</v>
      </c>
      <c r="L5">
        <v>2</v>
      </c>
      <c r="M5">
        <v>4</v>
      </c>
      <c r="N5">
        <v>3</v>
      </c>
      <c r="O5">
        <v>3</v>
      </c>
      <c r="P5">
        <v>4</v>
      </c>
      <c r="Q5">
        <v>2</v>
      </c>
      <c r="R5">
        <v>5</v>
      </c>
      <c r="S5">
        <v>1</v>
      </c>
      <c r="T5">
        <v>2</v>
      </c>
      <c r="U5">
        <v>1</v>
      </c>
      <c r="V5">
        <v>3</v>
      </c>
      <c r="W5">
        <v>2</v>
      </c>
      <c r="AP5" s="1">
        <f t="shared" ref="AP5:AP18" si="5">SUM(K5:AO5)</f>
        <v>33</v>
      </c>
    </row>
    <row r="6" spans="2:42" x14ac:dyDescent="0.25">
      <c r="B6" t="s">
        <v>36</v>
      </c>
      <c r="C6" s="9">
        <v>0</v>
      </c>
      <c r="D6" s="9">
        <v>0</v>
      </c>
      <c r="E6">
        <f t="shared" si="0"/>
        <v>0</v>
      </c>
      <c r="F6" s="10">
        <f t="shared" si="2"/>
        <v>0</v>
      </c>
      <c r="G6" s="10">
        <f t="shared" si="3"/>
        <v>13</v>
      </c>
      <c r="H6" s="12">
        <f t="shared" ca="1" si="4"/>
        <v>0</v>
      </c>
      <c r="I6" s="10">
        <f t="shared" ca="1" si="1"/>
        <v>13</v>
      </c>
      <c r="J6" s="3"/>
      <c r="K6">
        <v>1</v>
      </c>
      <c r="L6">
        <v>1</v>
      </c>
      <c r="M6">
        <v>2</v>
      </c>
      <c r="N6">
        <v>1</v>
      </c>
      <c r="O6">
        <v>0</v>
      </c>
      <c r="P6">
        <v>0</v>
      </c>
      <c r="Q6">
        <v>2</v>
      </c>
      <c r="R6">
        <v>2</v>
      </c>
      <c r="S6">
        <v>0</v>
      </c>
      <c r="T6">
        <v>2</v>
      </c>
      <c r="U6">
        <v>1</v>
      </c>
      <c r="V6">
        <v>1</v>
      </c>
      <c r="W6">
        <v>0</v>
      </c>
      <c r="AP6" s="1">
        <f t="shared" si="5"/>
        <v>13</v>
      </c>
    </row>
    <row r="7" spans="2:42" x14ac:dyDescent="0.25">
      <c r="B7" t="s">
        <v>83</v>
      </c>
      <c r="C7" s="9">
        <v>2.2000000000000002</v>
      </c>
      <c r="D7" s="9">
        <f>C7</f>
        <v>2.2000000000000002</v>
      </c>
      <c r="E7">
        <f t="shared" si="0"/>
        <v>7</v>
      </c>
      <c r="F7" s="10">
        <f t="shared" si="2"/>
        <v>4.8</v>
      </c>
      <c r="G7" s="10">
        <f t="shared" si="3"/>
        <v>99</v>
      </c>
      <c r="H7" s="12">
        <f t="shared" ca="1" si="4"/>
        <v>37.400000000000006</v>
      </c>
      <c r="I7" s="10">
        <f t="shared" ca="1" si="1"/>
        <v>61.599999999999994</v>
      </c>
      <c r="J7" s="3"/>
      <c r="K7" s="4">
        <v>8</v>
      </c>
      <c r="L7" s="4">
        <v>7</v>
      </c>
      <c r="M7" s="4">
        <v>8</v>
      </c>
      <c r="N7" s="4">
        <v>9</v>
      </c>
      <c r="O7" s="4">
        <v>9</v>
      </c>
      <c r="P7" s="4">
        <v>7</v>
      </c>
      <c r="Q7" s="4">
        <v>7</v>
      </c>
      <c r="R7" s="4">
        <v>8</v>
      </c>
      <c r="S7" s="4">
        <v>7</v>
      </c>
      <c r="T7" s="4">
        <v>7</v>
      </c>
      <c r="U7" s="4">
        <v>8</v>
      </c>
      <c r="V7" s="4">
        <v>7</v>
      </c>
      <c r="W7" s="4">
        <v>7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">
        <f t="shared" si="5"/>
        <v>99</v>
      </c>
    </row>
    <row r="8" spans="2:42" x14ac:dyDescent="0.25">
      <c r="B8" t="s">
        <v>84</v>
      </c>
      <c r="C8" s="9">
        <v>7.8</v>
      </c>
      <c r="D8" s="9">
        <f t="shared" ref="D8:D14" si="6">C8</f>
        <v>7.8</v>
      </c>
      <c r="E8">
        <f t="shared" si="0"/>
        <v>7</v>
      </c>
      <c r="F8" s="10">
        <f t="shared" si="2"/>
        <v>-0.79999999999999982</v>
      </c>
      <c r="G8" s="10">
        <f t="shared" si="3"/>
        <v>103</v>
      </c>
      <c r="H8" s="12">
        <f t="shared" ca="1" si="4"/>
        <v>132.6</v>
      </c>
      <c r="I8" s="10">
        <f t="shared" ca="1" si="1"/>
        <v>-29.599999999999994</v>
      </c>
      <c r="J8" s="3"/>
      <c r="K8" s="4">
        <v>8</v>
      </c>
      <c r="L8" s="4">
        <v>8</v>
      </c>
      <c r="M8" s="4">
        <v>8</v>
      </c>
      <c r="N8" s="4">
        <v>7</v>
      </c>
      <c r="O8" s="4">
        <v>9</v>
      </c>
      <c r="P8" s="4">
        <v>7</v>
      </c>
      <c r="Q8" s="4">
        <v>8</v>
      </c>
      <c r="R8" s="4">
        <v>8</v>
      </c>
      <c r="S8" s="4">
        <v>8</v>
      </c>
      <c r="T8" s="4">
        <v>7</v>
      </c>
      <c r="U8" s="4">
        <v>9</v>
      </c>
      <c r="V8" s="4">
        <v>9</v>
      </c>
      <c r="W8" s="4">
        <v>7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">
        <f t="shared" si="5"/>
        <v>103</v>
      </c>
    </row>
    <row r="9" spans="2:42" x14ac:dyDescent="0.25">
      <c r="B9" t="s">
        <v>85</v>
      </c>
      <c r="C9" s="9">
        <v>2.2000000000000002</v>
      </c>
      <c r="D9" s="9">
        <f t="shared" si="6"/>
        <v>2.2000000000000002</v>
      </c>
      <c r="E9">
        <f t="shared" si="0"/>
        <v>8</v>
      </c>
      <c r="F9" s="10">
        <f t="shared" si="2"/>
        <v>5.8</v>
      </c>
      <c r="G9" s="10">
        <f t="shared" si="3"/>
        <v>106</v>
      </c>
      <c r="H9" s="12">
        <f t="shared" ca="1" si="4"/>
        <v>37.400000000000006</v>
      </c>
      <c r="I9" s="10">
        <f t="shared" ca="1" si="1"/>
        <v>68.599999999999994</v>
      </c>
      <c r="J9" s="3"/>
      <c r="K9" s="4">
        <v>8</v>
      </c>
      <c r="L9" s="4">
        <v>9</v>
      </c>
      <c r="M9" s="4">
        <v>8</v>
      </c>
      <c r="N9" s="4">
        <v>8</v>
      </c>
      <c r="O9" s="4">
        <v>8</v>
      </c>
      <c r="P9" s="4">
        <v>9</v>
      </c>
      <c r="Q9" s="4">
        <v>7</v>
      </c>
      <c r="R9" s="4">
        <v>8</v>
      </c>
      <c r="S9" s="4">
        <v>9</v>
      </c>
      <c r="T9" s="4">
        <v>9</v>
      </c>
      <c r="U9" s="4">
        <v>8</v>
      </c>
      <c r="V9" s="4">
        <v>7</v>
      </c>
      <c r="W9" s="4">
        <v>8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">
        <f t="shared" si="5"/>
        <v>106</v>
      </c>
    </row>
    <row r="10" spans="2:42" x14ac:dyDescent="0.25">
      <c r="B10" t="s">
        <v>86</v>
      </c>
      <c r="C10" s="9">
        <v>1</v>
      </c>
      <c r="D10" s="9">
        <f t="shared" si="6"/>
        <v>1</v>
      </c>
      <c r="E10">
        <f t="shared" si="0"/>
        <v>9</v>
      </c>
      <c r="F10" s="10">
        <f t="shared" si="2"/>
        <v>8</v>
      </c>
      <c r="G10" s="10">
        <f t="shared" si="3"/>
        <v>99</v>
      </c>
      <c r="H10" s="12">
        <f t="shared" ca="1" si="4"/>
        <v>17</v>
      </c>
      <c r="I10" s="10">
        <f t="shared" ca="1" si="1"/>
        <v>82</v>
      </c>
      <c r="J10" s="3"/>
      <c r="K10" s="4">
        <v>8</v>
      </c>
      <c r="L10" s="4">
        <v>7</v>
      </c>
      <c r="M10" s="4">
        <v>7</v>
      </c>
      <c r="N10" s="4">
        <v>8</v>
      </c>
      <c r="O10" s="4">
        <v>7</v>
      </c>
      <c r="P10" s="4">
        <v>8</v>
      </c>
      <c r="Q10" s="4">
        <v>8</v>
      </c>
      <c r="R10" s="4">
        <v>7</v>
      </c>
      <c r="S10" s="4">
        <v>8</v>
      </c>
      <c r="T10" s="4">
        <v>7</v>
      </c>
      <c r="U10" s="4">
        <v>7</v>
      </c>
      <c r="V10" s="4">
        <v>8</v>
      </c>
      <c r="W10" s="4">
        <v>9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">
        <f t="shared" si="5"/>
        <v>99</v>
      </c>
    </row>
    <row r="11" spans="2:42" x14ac:dyDescent="0.25">
      <c r="B11" t="s">
        <v>87</v>
      </c>
      <c r="C11" s="9">
        <v>4.5</v>
      </c>
      <c r="D11" s="9">
        <f t="shared" si="6"/>
        <v>4.5</v>
      </c>
      <c r="E11">
        <f t="shared" si="0"/>
        <v>7</v>
      </c>
      <c r="F11" s="10">
        <f t="shared" si="2"/>
        <v>2.5</v>
      </c>
      <c r="G11" s="10">
        <f t="shared" si="3"/>
        <v>103</v>
      </c>
      <c r="H11" s="12">
        <f t="shared" ca="1" si="4"/>
        <v>76.5</v>
      </c>
      <c r="I11" s="10">
        <f t="shared" ca="1" si="1"/>
        <v>26.5</v>
      </c>
      <c r="J11" s="3"/>
      <c r="K11" s="4">
        <v>9</v>
      </c>
      <c r="L11" s="4">
        <v>7</v>
      </c>
      <c r="M11" s="4">
        <v>9</v>
      </c>
      <c r="N11" s="4">
        <v>9</v>
      </c>
      <c r="O11" s="4">
        <v>8</v>
      </c>
      <c r="P11" s="4">
        <v>8</v>
      </c>
      <c r="Q11" s="4">
        <v>7</v>
      </c>
      <c r="R11" s="4">
        <v>9</v>
      </c>
      <c r="S11" s="4">
        <v>8</v>
      </c>
      <c r="T11" s="4">
        <v>8</v>
      </c>
      <c r="U11" s="4">
        <v>7</v>
      </c>
      <c r="V11" s="4">
        <v>7</v>
      </c>
      <c r="W11" s="4">
        <v>7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">
        <f t="shared" si="5"/>
        <v>103</v>
      </c>
    </row>
    <row r="12" spans="2:42" x14ac:dyDescent="0.25">
      <c r="B12" t="s">
        <v>88</v>
      </c>
      <c r="C12" s="9">
        <v>1</v>
      </c>
      <c r="D12" s="9">
        <f t="shared" si="6"/>
        <v>1</v>
      </c>
      <c r="E12">
        <f t="shared" si="0"/>
        <v>9</v>
      </c>
      <c r="F12" s="10">
        <f t="shared" si="2"/>
        <v>8</v>
      </c>
      <c r="G12" s="10">
        <f t="shared" si="3"/>
        <v>102</v>
      </c>
      <c r="H12" s="12">
        <f t="shared" ca="1" si="4"/>
        <v>17</v>
      </c>
      <c r="I12" s="10">
        <f t="shared" ca="1" si="1"/>
        <v>85</v>
      </c>
      <c r="J12" s="3"/>
      <c r="K12" s="4">
        <v>7</v>
      </c>
      <c r="L12" s="4">
        <v>8</v>
      </c>
      <c r="M12" s="4">
        <v>7</v>
      </c>
      <c r="N12" s="4">
        <v>8</v>
      </c>
      <c r="O12" s="4">
        <v>8</v>
      </c>
      <c r="P12" s="4">
        <v>7</v>
      </c>
      <c r="Q12" s="4">
        <v>7</v>
      </c>
      <c r="R12" s="4">
        <v>8</v>
      </c>
      <c r="S12" s="4">
        <v>9</v>
      </c>
      <c r="T12" s="4">
        <v>8</v>
      </c>
      <c r="U12" s="4">
        <v>9</v>
      </c>
      <c r="V12" s="4">
        <v>7</v>
      </c>
      <c r="W12" s="4">
        <v>9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1">
        <f t="shared" si="5"/>
        <v>102</v>
      </c>
    </row>
    <row r="13" spans="2:42" x14ac:dyDescent="0.25">
      <c r="B13" t="s">
        <v>89</v>
      </c>
      <c r="C13" s="9">
        <v>3</v>
      </c>
      <c r="D13" s="9">
        <f t="shared" si="6"/>
        <v>3</v>
      </c>
      <c r="E13">
        <f t="shared" si="0"/>
        <v>7</v>
      </c>
      <c r="F13" s="10">
        <f t="shared" si="2"/>
        <v>4</v>
      </c>
      <c r="G13" s="10">
        <f t="shared" si="3"/>
        <v>97</v>
      </c>
      <c r="H13" s="12">
        <f t="shared" ca="1" si="4"/>
        <v>51</v>
      </c>
      <c r="I13" s="10">
        <f t="shared" ca="1" si="1"/>
        <v>46</v>
      </c>
      <c r="J13" s="3"/>
      <c r="K13" s="4">
        <v>7</v>
      </c>
      <c r="L13" s="4">
        <v>8</v>
      </c>
      <c r="M13" s="4">
        <v>8</v>
      </c>
      <c r="N13" s="4">
        <v>8</v>
      </c>
      <c r="O13" s="4">
        <v>7</v>
      </c>
      <c r="P13" s="4">
        <v>7</v>
      </c>
      <c r="Q13" s="4">
        <v>7</v>
      </c>
      <c r="R13" s="4">
        <v>8</v>
      </c>
      <c r="S13" s="4">
        <v>7</v>
      </c>
      <c r="T13" s="4">
        <v>7</v>
      </c>
      <c r="U13" s="4">
        <v>7</v>
      </c>
      <c r="V13" s="4">
        <v>9</v>
      </c>
      <c r="W13" s="4">
        <v>7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">
        <f t="shared" si="5"/>
        <v>97</v>
      </c>
    </row>
    <row r="14" spans="2:42" x14ac:dyDescent="0.25">
      <c r="B14" t="s">
        <v>90</v>
      </c>
      <c r="C14" s="9">
        <f>SUM(C7:C13)</f>
        <v>21.7</v>
      </c>
      <c r="D14" s="9">
        <f t="shared" si="6"/>
        <v>21.7</v>
      </c>
      <c r="E14">
        <f t="shared" si="0"/>
        <v>9</v>
      </c>
      <c r="F14" s="10">
        <f t="shared" si="2"/>
        <v>-12.7</v>
      </c>
      <c r="G14" s="10">
        <f t="shared" si="3"/>
        <v>104</v>
      </c>
      <c r="H14" s="12">
        <f t="shared" ca="1" si="4"/>
        <v>368.9</v>
      </c>
      <c r="I14" s="10">
        <f t="shared" ca="1" si="1"/>
        <v>-264.89999999999998</v>
      </c>
      <c r="J14" s="3"/>
      <c r="K14" s="4">
        <v>9</v>
      </c>
      <c r="L14" s="4">
        <v>7</v>
      </c>
      <c r="M14" s="4">
        <v>9</v>
      </c>
      <c r="N14" s="4">
        <v>8</v>
      </c>
      <c r="O14" s="4">
        <v>9</v>
      </c>
      <c r="P14" s="4">
        <v>7</v>
      </c>
      <c r="Q14" s="4">
        <v>7</v>
      </c>
      <c r="R14" s="4">
        <v>7</v>
      </c>
      <c r="S14" s="4">
        <v>9</v>
      </c>
      <c r="T14" s="4">
        <v>9</v>
      </c>
      <c r="U14" s="4">
        <v>7</v>
      </c>
      <c r="V14" s="4">
        <v>7</v>
      </c>
      <c r="W14" s="4">
        <v>9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1">
        <f t="shared" si="5"/>
        <v>104</v>
      </c>
    </row>
    <row r="15" spans="2:42" x14ac:dyDescent="0.25">
      <c r="B15" t="s">
        <v>37</v>
      </c>
      <c r="C15" s="9">
        <v>0</v>
      </c>
      <c r="D15" s="9">
        <v>0</v>
      </c>
      <c r="E15">
        <f t="shared" si="0"/>
        <v>5</v>
      </c>
      <c r="F15" s="10">
        <f t="shared" si="2"/>
        <v>5</v>
      </c>
      <c r="G15" s="10">
        <f t="shared" si="3"/>
        <v>30</v>
      </c>
      <c r="H15" s="12">
        <f t="shared" ca="1" si="4"/>
        <v>0</v>
      </c>
      <c r="I15" s="10">
        <f t="shared" ca="1" si="1"/>
        <v>30</v>
      </c>
      <c r="J15" s="3"/>
      <c r="K15">
        <v>1</v>
      </c>
      <c r="L15">
        <v>2</v>
      </c>
      <c r="M15">
        <v>4</v>
      </c>
      <c r="N15">
        <v>3</v>
      </c>
      <c r="O15">
        <v>1</v>
      </c>
      <c r="P15">
        <v>1</v>
      </c>
      <c r="Q15">
        <v>1</v>
      </c>
      <c r="R15">
        <v>5</v>
      </c>
      <c r="S15">
        <v>3</v>
      </c>
      <c r="T15">
        <v>1</v>
      </c>
      <c r="U15">
        <v>1</v>
      </c>
      <c r="V15">
        <v>2</v>
      </c>
      <c r="W15">
        <v>5</v>
      </c>
      <c r="AP15" s="1">
        <f t="shared" si="5"/>
        <v>30</v>
      </c>
    </row>
    <row r="16" spans="2:42" x14ac:dyDescent="0.25">
      <c r="B16" t="s">
        <v>39</v>
      </c>
      <c r="C16" s="9">
        <v>690</v>
      </c>
      <c r="D16" s="9">
        <f>C16</f>
        <v>690</v>
      </c>
      <c r="E16">
        <v>720</v>
      </c>
      <c r="F16" s="10">
        <f t="shared" si="2"/>
        <v>30</v>
      </c>
      <c r="G16" s="10">
        <f t="shared" si="3"/>
        <v>700</v>
      </c>
      <c r="H16" s="12">
        <f t="shared" ca="1" si="4"/>
        <v>11730</v>
      </c>
      <c r="I16" s="10">
        <f t="shared" ca="1" si="1"/>
        <v>-11030</v>
      </c>
      <c r="J16" s="3"/>
      <c r="K16">
        <v>698</v>
      </c>
      <c r="L16">
        <v>698</v>
      </c>
      <c r="M16">
        <v>698</v>
      </c>
      <c r="N16">
        <v>698</v>
      </c>
      <c r="O16">
        <v>698</v>
      </c>
      <c r="P16">
        <v>698</v>
      </c>
      <c r="Q16">
        <v>698</v>
      </c>
      <c r="R16">
        <v>698</v>
      </c>
      <c r="S16">
        <v>698</v>
      </c>
      <c r="T16">
        <v>698</v>
      </c>
      <c r="U16">
        <v>698</v>
      </c>
      <c r="V16">
        <v>698</v>
      </c>
      <c r="W16">
        <v>698</v>
      </c>
      <c r="AP16" s="1">
        <v>700</v>
      </c>
    </row>
    <row r="17" spans="2:42" x14ac:dyDescent="0.25">
      <c r="B17" t="s">
        <v>58</v>
      </c>
      <c r="C17" s="9">
        <v>13.5</v>
      </c>
      <c r="D17" s="9">
        <v>13.5</v>
      </c>
      <c r="E17">
        <v>15</v>
      </c>
      <c r="F17" s="10">
        <f t="shared" si="2"/>
        <v>1.5</v>
      </c>
      <c r="G17" s="10">
        <f t="shared" si="3"/>
        <v>12.1</v>
      </c>
      <c r="H17" s="12">
        <f t="shared" ca="1" si="4"/>
        <v>229.5</v>
      </c>
      <c r="I17" s="10">
        <f t="shared" ca="1" si="1"/>
        <v>-217.4</v>
      </c>
      <c r="J17" s="3">
        <f ca="1">D17*(J18/D18)</f>
        <v>16.875</v>
      </c>
      <c r="K17">
        <v>12.9</v>
      </c>
      <c r="L17">
        <v>12.9</v>
      </c>
      <c r="M17">
        <v>12.9</v>
      </c>
      <c r="N17">
        <v>12.9</v>
      </c>
      <c r="O17">
        <v>12.9</v>
      </c>
      <c r="P17">
        <v>12.9</v>
      </c>
      <c r="Q17">
        <v>12.9</v>
      </c>
      <c r="R17">
        <v>12.9</v>
      </c>
      <c r="S17">
        <v>12.9</v>
      </c>
      <c r="T17">
        <v>12.9</v>
      </c>
      <c r="U17">
        <v>12.9</v>
      </c>
      <c r="V17">
        <v>12.9</v>
      </c>
      <c r="W17">
        <v>12.9</v>
      </c>
      <c r="AP17" s="1">
        <v>12.1</v>
      </c>
    </row>
    <row r="18" spans="2:42" x14ac:dyDescent="0.25">
      <c r="B18" t="s">
        <v>91</v>
      </c>
      <c r="C18" s="9">
        <v>30000</v>
      </c>
      <c r="D18" s="9">
        <v>1000</v>
      </c>
      <c r="E18">
        <v>1200</v>
      </c>
      <c r="F18" s="10">
        <f t="shared" si="2"/>
        <v>200</v>
      </c>
      <c r="G18" s="10">
        <f t="shared" si="3"/>
        <v>12500</v>
      </c>
      <c r="H18" s="12">
        <f t="shared" ca="1" si="4"/>
        <v>17000</v>
      </c>
      <c r="I18" s="10">
        <f t="shared" ca="1" si="1"/>
        <v>-4500</v>
      </c>
      <c r="J18" s="5">
        <f ca="1">(C18-G18)/(EOMONTH(TODAY(),0)-TODAY()+1)</f>
        <v>1250</v>
      </c>
      <c r="K18">
        <v>1000</v>
      </c>
      <c r="L18">
        <v>1000</v>
      </c>
      <c r="M18">
        <v>1000</v>
      </c>
      <c r="N18">
        <v>1000</v>
      </c>
      <c r="O18">
        <v>1000</v>
      </c>
      <c r="P18">
        <v>1000</v>
      </c>
      <c r="Q18">
        <v>1000</v>
      </c>
      <c r="R18">
        <v>1000</v>
      </c>
      <c r="S18">
        <v>1000</v>
      </c>
      <c r="T18">
        <v>1000</v>
      </c>
      <c r="U18">
        <v>1000</v>
      </c>
      <c r="V18">
        <v>1000</v>
      </c>
      <c r="W18">
        <v>1000</v>
      </c>
      <c r="AP18" s="1">
        <v>12500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3"/>
  <sheetViews>
    <sheetView topLeftCell="B1" workbookViewId="0">
      <selection activeCell="S24" sqref="S24"/>
    </sheetView>
  </sheetViews>
  <sheetFormatPr defaultRowHeight="15" x14ac:dyDescent="0.25"/>
  <cols>
    <col min="2" max="2" width="17.28515625" customWidth="1"/>
    <col min="9" max="9" width="13.85546875" customWidth="1"/>
    <col min="11" max="23" width="6" bestFit="1" customWidth="1"/>
    <col min="24" max="41" width="4.28515625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t="s">
        <v>32</v>
      </c>
      <c r="C3" s="6">
        <v>286000</v>
      </c>
      <c r="D3" s="15">
        <f>C3/29</f>
        <v>9862.0689655172409</v>
      </c>
      <c r="E3">
        <f>LOOKUP(2,1/(K3:AO3&lt;&gt;""),K3:AO3)</f>
        <v>14389</v>
      </c>
      <c r="F3" s="10">
        <f>E3-D3</f>
        <v>4526.9310344827591</v>
      </c>
      <c r="G3" s="10">
        <f>AP3</f>
        <v>165891</v>
      </c>
      <c r="H3" s="12">
        <f ca="1">D3*(DAY(TODAY())-1)</f>
        <v>167655.1724137931</v>
      </c>
      <c r="I3" s="10">
        <f t="shared" ref="I3:I12" ca="1" si="0">G3-H3</f>
        <v>-1764.1724137931014</v>
      </c>
      <c r="J3" s="5">
        <f ca="1">(C3-G3)/(EOMONTH(TODAY(),0)-TODAY()+1)</f>
        <v>8579.2142857142862</v>
      </c>
      <c r="K3">
        <v>12789</v>
      </c>
      <c r="L3">
        <v>13474</v>
      </c>
      <c r="M3">
        <v>11408</v>
      </c>
      <c r="N3">
        <v>10445</v>
      </c>
      <c r="O3">
        <v>14255</v>
      </c>
      <c r="P3">
        <v>12167</v>
      </c>
      <c r="Q3">
        <v>14781</v>
      </c>
      <c r="R3">
        <v>14551</v>
      </c>
      <c r="S3">
        <v>11003</v>
      </c>
      <c r="T3">
        <v>10775</v>
      </c>
      <c r="U3">
        <v>14750</v>
      </c>
      <c r="V3">
        <v>11104</v>
      </c>
      <c r="W3">
        <v>14389</v>
      </c>
      <c r="AP3" s="1">
        <f>SUM(K3:AO3)</f>
        <v>165891</v>
      </c>
    </row>
    <row r="4" spans="2:42" x14ac:dyDescent="0.25">
      <c r="B4" t="s">
        <v>33</v>
      </c>
      <c r="C4" s="6">
        <v>700</v>
      </c>
      <c r="D4" s="15">
        <f>C4/29</f>
        <v>24.137931034482758</v>
      </c>
      <c r="E4">
        <f t="shared" ref="E4:E5" si="1">LOOKUP(2,1/(K4:AO4&lt;&gt;""),K4:AO4)</f>
        <v>22</v>
      </c>
      <c r="F4" s="10">
        <f t="shared" ref="F4:F13" si="2">E4-D4</f>
        <v>-2.137931034482758</v>
      </c>
      <c r="G4" s="10">
        <f t="shared" ref="G4:G13" si="3">AP4</f>
        <v>286</v>
      </c>
      <c r="H4" s="12">
        <f t="shared" ref="H4:H13" ca="1" si="4">D4*(DAY(TODAY())-1)</f>
        <v>410.34482758620686</v>
      </c>
      <c r="I4" s="10">
        <f t="shared" ref="I4:I5" ca="1" si="5">G4-H4</f>
        <v>-124.34482758620686</v>
      </c>
      <c r="J4" s="3"/>
      <c r="K4">
        <v>22</v>
      </c>
      <c r="L4">
        <v>22</v>
      </c>
      <c r="M4">
        <v>22</v>
      </c>
      <c r="N4">
        <v>22</v>
      </c>
      <c r="O4">
        <v>22</v>
      </c>
      <c r="P4">
        <v>22</v>
      </c>
      <c r="Q4">
        <v>22</v>
      </c>
      <c r="R4">
        <v>22</v>
      </c>
      <c r="S4">
        <v>22</v>
      </c>
      <c r="T4">
        <v>22</v>
      </c>
      <c r="U4">
        <v>22</v>
      </c>
      <c r="V4">
        <v>22</v>
      </c>
      <c r="W4">
        <v>22</v>
      </c>
      <c r="AP4" s="1">
        <f t="shared" ref="AP4:AP5" si="6">SUM(K4:AO4)</f>
        <v>286</v>
      </c>
    </row>
    <row r="5" spans="2:42" x14ac:dyDescent="0.25">
      <c r="B5" t="s">
        <v>34</v>
      </c>
      <c r="C5" s="6">
        <v>60</v>
      </c>
      <c r="D5" s="6">
        <v>60</v>
      </c>
      <c r="E5">
        <f t="shared" si="1"/>
        <v>56</v>
      </c>
      <c r="F5" s="10">
        <f t="shared" si="2"/>
        <v>-4</v>
      </c>
      <c r="G5" s="10">
        <f t="shared" si="3"/>
        <v>728</v>
      </c>
      <c r="H5" s="12">
        <f t="shared" ca="1" si="4"/>
        <v>1020</v>
      </c>
      <c r="I5" s="10">
        <f t="shared" ca="1" si="5"/>
        <v>-292</v>
      </c>
      <c r="J5" s="3"/>
      <c r="K5">
        <v>56</v>
      </c>
      <c r="L5">
        <v>56</v>
      </c>
      <c r="M5">
        <v>56</v>
      </c>
      <c r="N5">
        <v>56</v>
      </c>
      <c r="O5">
        <v>56</v>
      </c>
      <c r="P5">
        <v>56</v>
      </c>
      <c r="Q5">
        <v>56</v>
      </c>
      <c r="R5">
        <v>56</v>
      </c>
      <c r="S5">
        <v>56</v>
      </c>
      <c r="T5">
        <v>56</v>
      </c>
      <c r="U5">
        <v>56</v>
      </c>
      <c r="V5">
        <v>56</v>
      </c>
      <c r="W5">
        <v>56</v>
      </c>
      <c r="AP5" s="1">
        <f t="shared" si="6"/>
        <v>728</v>
      </c>
    </row>
    <row r="6" spans="2:42" x14ac:dyDescent="0.25">
      <c r="B6" t="s">
        <v>35</v>
      </c>
      <c r="C6" s="9">
        <v>30</v>
      </c>
      <c r="D6" s="9">
        <v>1</v>
      </c>
      <c r="E6">
        <f t="shared" ref="E6:E12" si="7">LOOKUP(2,1/(K6:AO6&lt;&gt;""),K6:AO6)</f>
        <v>5</v>
      </c>
      <c r="F6" s="10">
        <f t="shared" si="2"/>
        <v>4</v>
      </c>
      <c r="G6" s="10">
        <f t="shared" si="3"/>
        <v>42</v>
      </c>
      <c r="H6" s="12">
        <f t="shared" ca="1" si="4"/>
        <v>17</v>
      </c>
      <c r="I6" s="10">
        <f t="shared" ca="1" si="0"/>
        <v>25</v>
      </c>
      <c r="J6" s="3"/>
      <c r="K6">
        <v>2</v>
      </c>
      <c r="L6">
        <v>4</v>
      </c>
      <c r="M6">
        <v>2</v>
      </c>
      <c r="N6">
        <v>4</v>
      </c>
      <c r="O6">
        <v>4</v>
      </c>
      <c r="P6">
        <v>3</v>
      </c>
      <c r="Q6">
        <v>5</v>
      </c>
      <c r="R6">
        <v>5</v>
      </c>
      <c r="S6">
        <v>2</v>
      </c>
      <c r="T6">
        <v>1</v>
      </c>
      <c r="U6">
        <v>1</v>
      </c>
      <c r="V6">
        <v>4</v>
      </c>
      <c r="W6">
        <v>5</v>
      </c>
      <c r="AP6" s="1">
        <f t="shared" ref="AP6:AP12" si="8">SUM(K6:AO6)</f>
        <v>42</v>
      </c>
    </row>
    <row r="7" spans="2:42" x14ac:dyDescent="0.25">
      <c r="B7" t="s">
        <v>36</v>
      </c>
      <c r="C7" s="9">
        <v>0</v>
      </c>
      <c r="D7" s="9">
        <v>0</v>
      </c>
      <c r="E7">
        <f t="shared" si="7"/>
        <v>2</v>
      </c>
      <c r="F7" s="10">
        <f t="shared" si="2"/>
        <v>2</v>
      </c>
      <c r="G7" s="10">
        <f t="shared" si="3"/>
        <v>17</v>
      </c>
      <c r="H7" s="12">
        <f t="shared" ca="1" si="4"/>
        <v>0</v>
      </c>
      <c r="I7" s="10">
        <f t="shared" ca="1" si="0"/>
        <v>17</v>
      </c>
      <c r="J7" s="3"/>
      <c r="K7">
        <v>0</v>
      </c>
      <c r="L7">
        <v>0</v>
      </c>
      <c r="M7">
        <v>0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0</v>
      </c>
      <c r="U7">
        <v>2</v>
      </c>
      <c r="V7">
        <v>1</v>
      </c>
      <c r="W7">
        <v>2</v>
      </c>
      <c r="AP7" s="1">
        <f t="shared" si="8"/>
        <v>17</v>
      </c>
    </row>
    <row r="8" spans="2:42" x14ac:dyDescent="0.25">
      <c r="B8" t="s">
        <v>83</v>
      </c>
      <c r="C8" s="9">
        <v>17</v>
      </c>
      <c r="D8" s="9">
        <f>C8</f>
        <v>17</v>
      </c>
      <c r="E8">
        <f t="shared" si="7"/>
        <v>8</v>
      </c>
      <c r="F8" s="10">
        <f t="shared" si="2"/>
        <v>-9</v>
      </c>
      <c r="G8" s="10">
        <f t="shared" si="3"/>
        <v>107</v>
      </c>
      <c r="H8" s="12">
        <f t="shared" ca="1" si="4"/>
        <v>289</v>
      </c>
      <c r="I8" s="10">
        <f t="shared" ca="1" si="0"/>
        <v>-182</v>
      </c>
      <c r="J8" s="3"/>
      <c r="K8" s="4">
        <v>7</v>
      </c>
      <c r="L8" s="4">
        <v>9</v>
      </c>
      <c r="M8" s="4">
        <v>8</v>
      </c>
      <c r="N8" s="4">
        <v>8</v>
      </c>
      <c r="O8" s="4">
        <v>7</v>
      </c>
      <c r="P8" s="4">
        <v>9</v>
      </c>
      <c r="Q8" s="4">
        <v>8</v>
      </c>
      <c r="R8" s="4">
        <v>8</v>
      </c>
      <c r="S8" s="4">
        <v>9</v>
      </c>
      <c r="T8" s="4">
        <v>9</v>
      </c>
      <c r="U8" s="4">
        <v>9</v>
      </c>
      <c r="V8" s="4">
        <v>8</v>
      </c>
      <c r="W8" s="4">
        <v>8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">
        <f t="shared" si="8"/>
        <v>107</v>
      </c>
    </row>
    <row r="9" spans="2:42" x14ac:dyDescent="0.25">
      <c r="B9" t="s">
        <v>93</v>
      </c>
      <c r="C9" s="9">
        <v>17</v>
      </c>
      <c r="D9" s="9">
        <f t="shared" ref="D9:D11" si="9">C9</f>
        <v>17</v>
      </c>
      <c r="E9">
        <f t="shared" si="7"/>
        <v>9</v>
      </c>
      <c r="F9" s="10">
        <f t="shared" si="2"/>
        <v>-8</v>
      </c>
      <c r="G9" s="10">
        <f t="shared" si="3"/>
        <v>101</v>
      </c>
      <c r="H9" s="12">
        <f t="shared" ca="1" si="4"/>
        <v>289</v>
      </c>
      <c r="I9" s="10">
        <f t="shared" ca="1" si="0"/>
        <v>-188</v>
      </c>
      <c r="J9" s="3"/>
      <c r="K9" s="4">
        <v>7</v>
      </c>
      <c r="L9" s="4">
        <v>7</v>
      </c>
      <c r="M9" s="4">
        <v>9</v>
      </c>
      <c r="N9" s="4">
        <v>7</v>
      </c>
      <c r="O9" s="4">
        <v>7</v>
      </c>
      <c r="P9" s="4">
        <v>7</v>
      </c>
      <c r="Q9" s="4">
        <v>8</v>
      </c>
      <c r="R9" s="4">
        <v>8</v>
      </c>
      <c r="S9" s="4">
        <v>8</v>
      </c>
      <c r="T9" s="4">
        <v>8</v>
      </c>
      <c r="U9" s="4">
        <v>9</v>
      </c>
      <c r="V9" s="4">
        <v>7</v>
      </c>
      <c r="W9" s="4">
        <v>9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">
        <f t="shared" si="8"/>
        <v>101</v>
      </c>
    </row>
    <row r="10" spans="2:42" x14ac:dyDescent="0.25">
      <c r="B10" t="s">
        <v>89</v>
      </c>
      <c r="C10" s="9">
        <v>10</v>
      </c>
      <c r="D10" s="9">
        <f t="shared" si="9"/>
        <v>10</v>
      </c>
      <c r="E10">
        <f t="shared" si="7"/>
        <v>7</v>
      </c>
      <c r="F10" s="10">
        <f t="shared" si="2"/>
        <v>-3</v>
      </c>
      <c r="G10" s="10">
        <f t="shared" si="3"/>
        <v>99</v>
      </c>
      <c r="H10" s="12">
        <f t="shared" ca="1" si="4"/>
        <v>170</v>
      </c>
      <c r="I10" s="10">
        <f t="shared" ca="1" si="0"/>
        <v>-71</v>
      </c>
      <c r="J10" s="3"/>
      <c r="K10" s="4">
        <v>7</v>
      </c>
      <c r="L10" s="4">
        <v>7</v>
      </c>
      <c r="M10" s="4">
        <v>9</v>
      </c>
      <c r="N10" s="4">
        <v>7</v>
      </c>
      <c r="O10" s="4">
        <v>7</v>
      </c>
      <c r="P10" s="4">
        <v>7</v>
      </c>
      <c r="Q10" s="4">
        <v>7</v>
      </c>
      <c r="R10" s="4">
        <v>8</v>
      </c>
      <c r="S10" s="4">
        <v>7</v>
      </c>
      <c r="T10" s="4">
        <v>9</v>
      </c>
      <c r="U10" s="4">
        <v>8</v>
      </c>
      <c r="V10" s="4">
        <v>9</v>
      </c>
      <c r="W10" s="4">
        <v>7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">
        <f t="shared" si="8"/>
        <v>99</v>
      </c>
    </row>
    <row r="11" spans="2:42" x14ac:dyDescent="0.25">
      <c r="B11" t="s">
        <v>90</v>
      </c>
      <c r="C11" s="9">
        <f>SUM(C8:C10)</f>
        <v>44</v>
      </c>
      <c r="D11" s="9">
        <f t="shared" si="9"/>
        <v>44</v>
      </c>
      <c r="E11">
        <f t="shared" si="7"/>
        <v>8</v>
      </c>
      <c r="F11" s="10">
        <f t="shared" si="2"/>
        <v>-36</v>
      </c>
      <c r="G11" s="10">
        <f t="shared" si="3"/>
        <v>108</v>
      </c>
      <c r="H11" s="12">
        <f t="shared" ca="1" si="4"/>
        <v>748</v>
      </c>
      <c r="I11" s="10">
        <f t="shared" ca="1" si="0"/>
        <v>-640</v>
      </c>
      <c r="J11" s="3"/>
      <c r="K11" s="4">
        <v>7</v>
      </c>
      <c r="L11" s="4">
        <v>9</v>
      </c>
      <c r="M11" s="4">
        <v>8</v>
      </c>
      <c r="N11" s="4">
        <v>8</v>
      </c>
      <c r="O11" s="4">
        <v>8</v>
      </c>
      <c r="P11" s="4">
        <v>9</v>
      </c>
      <c r="Q11" s="4">
        <v>9</v>
      </c>
      <c r="R11" s="4">
        <v>8</v>
      </c>
      <c r="S11" s="4">
        <v>9</v>
      </c>
      <c r="T11" s="4">
        <v>8</v>
      </c>
      <c r="U11" s="4">
        <v>8</v>
      </c>
      <c r="V11" s="4">
        <v>9</v>
      </c>
      <c r="W11" s="4">
        <v>8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">
        <f t="shared" si="8"/>
        <v>108</v>
      </c>
    </row>
    <row r="12" spans="2:42" x14ac:dyDescent="0.25">
      <c r="B12" t="s">
        <v>37</v>
      </c>
      <c r="C12" s="9">
        <v>0</v>
      </c>
      <c r="D12" s="9">
        <v>0</v>
      </c>
      <c r="E12">
        <f t="shared" si="7"/>
        <v>3</v>
      </c>
      <c r="F12" s="10">
        <f t="shared" si="2"/>
        <v>3</v>
      </c>
      <c r="G12" s="10">
        <f t="shared" si="3"/>
        <v>44</v>
      </c>
      <c r="H12" s="12">
        <f t="shared" ca="1" si="4"/>
        <v>0</v>
      </c>
      <c r="I12" s="10">
        <f t="shared" ca="1" si="0"/>
        <v>44</v>
      </c>
      <c r="J12" s="3"/>
      <c r="K12">
        <v>5</v>
      </c>
      <c r="L12">
        <v>4</v>
      </c>
      <c r="M12">
        <v>4</v>
      </c>
      <c r="N12">
        <v>3</v>
      </c>
      <c r="O12">
        <v>5</v>
      </c>
      <c r="P12">
        <v>3</v>
      </c>
      <c r="Q12">
        <v>2</v>
      </c>
      <c r="R12">
        <v>2</v>
      </c>
      <c r="S12">
        <v>2</v>
      </c>
      <c r="T12">
        <v>4</v>
      </c>
      <c r="U12">
        <v>3</v>
      </c>
      <c r="V12">
        <v>4</v>
      </c>
      <c r="W12">
        <v>3</v>
      </c>
      <c r="AP12" s="1">
        <f t="shared" si="8"/>
        <v>44</v>
      </c>
    </row>
    <row r="13" spans="2:42" x14ac:dyDescent="0.25">
      <c r="B13" t="s">
        <v>94</v>
      </c>
      <c r="C13" s="9">
        <v>0</v>
      </c>
      <c r="D13" s="9">
        <v>0</v>
      </c>
      <c r="E13">
        <f t="shared" ref="E13" si="10">LOOKUP(2,1/(K13:AO13&lt;&gt;""),K13:AO13)</f>
        <v>5</v>
      </c>
      <c r="F13" s="10">
        <f t="shared" si="2"/>
        <v>5</v>
      </c>
      <c r="G13" s="10">
        <f t="shared" si="3"/>
        <v>4</v>
      </c>
      <c r="H13" s="12">
        <f t="shared" ca="1" si="4"/>
        <v>0</v>
      </c>
      <c r="I13">
        <v>15000</v>
      </c>
      <c r="J13" s="3"/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AP13" s="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2"/>
  <sheetViews>
    <sheetView topLeftCell="B1" workbookViewId="0">
      <selection activeCell="J6" sqref="J6"/>
    </sheetView>
  </sheetViews>
  <sheetFormatPr defaultRowHeight="15" x14ac:dyDescent="0.25"/>
  <cols>
    <col min="2" max="2" width="17.28515625" customWidth="1"/>
    <col min="9" max="9" width="13.85546875" customWidth="1"/>
    <col min="11" max="23" width="6" bestFit="1" customWidth="1"/>
    <col min="24" max="41" width="4.28515625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t="s">
        <v>32</v>
      </c>
      <c r="C3" s="6">
        <v>286000</v>
      </c>
      <c r="D3" s="15">
        <f>C3/29</f>
        <v>9862.0689655172409</v>
      </c>
      <c r="E3">
        <f>LOOKUP(2,1/(K3:AO3&lt;&gt;""),K3:AO3)</f>
        <v>9200</v>
      </c>
      <c r="F3" s="10">
        <f>E3-D3</f>
        <v>-662.06896551724094</v>
      </c>
      <c r="G3" s="10">
        <f>AP3</f>
        <v>119600</v>
      </c>
      <c r="H3" s="12">
        <f ca="1">D3*(DAY(TODAY())-1)</f>
        <v>167655.1724137931</v>
      </c>
      <c r="I3" s="10">
        <f t="shared" ref="I3:I12" ca="1" si="0">G3-H3</f>
        <v>-48055.172413793101</v>
      </c>
      <c r="J3" s="5">
        <f ca="1">(C3-G3)/(EOMONTH(TODAY(),0)-TODAY()+1)</f>
        <v>11885.714285714286</v>
      </c>
      <c r="K3">
        <v>9200</v>
      </c>
      <c r="L3">
        <v>9200</v>
      </c>
      <c r="M3">
        <v>9200</v>
      </c>
      <c r="N3">
        <v>9200</v>
      </c>
      <c r="O3">
        <v>9200</v>
      </c>
      <c r="P3">
        <v>9200</v>
      </c>
      <c r="Q3">
        <v>9200</v>
      </c>
      <c r="R3">
        <v>9200</v>
      </c>
      <c r="S3">
        <v>9200</v>
      </c>
      <c r="T3">
        <v>9200</v>
      </c>
      <c r="U3">
        <v>9200</v>
      </c>
      <c r="V3">
        <v>9200</v>
      </c>
      <c r="W3">
        <v>9200</v>
      </c>
      <c r="AP3" s="1">
        <f>SUM(K3:AO3)</f>
        <v>119600</v>
      </c>
    </row>
    <row r="4" spans="2:42" x14ac:dyDescent="0.25">
      <c r="B4" t="s">
        <v>33</v>
      </c>
      <c r="C4" s="6">
        <v>700</v>
      </c>
      <c r="D4" s="15">
        <f>C4/29</f>
        <v>24.137931034482758</v>
      </c>
      <c r="E4">
        <f t="shared" ref="E4:E12" si="1">LOOKUP(2,1/(K4:AO4&lt;&gt;""),K4:AO4)</f>
        <v>22</v>
      </c>
      <c r="F4" s="10">
        <f t="shared" ref="F4:F12" si="2">E4-D4</f>
        <v>-2.137931034482758</v>
      </c>
      <c r="G4" s="10">
        <f t="shared" ref="G4:G12" si="3">AP4</f>
        <v>286</v>
      </c>
      <c r="H4" s="12">
        <f t="shared" ref="H4:H12" ca="1" si="4">D4*(DAY(TODAY())-1)</f>
        <v>410.34482758620686</v>
      </c>
      <c r="I4" s="10">
        <f t="shared" ca="1" si="0"/>
        <v>-124.34482758620686</v>
      </c>
      <c r="J4" s="3"/>
      <c r="K4">
        <v>22</v>
      </c>
      <c r="L4">
        <v>22</v>
      </c>
      <c r="M4">
        <v>22</v>
      </c>
      <c r="N4">
        <v>22</v>
      </c>
      <c r="O4">
        <v>22</v>
      </c>
      <c r="P4">
        <v>22</v>
      </c>
      <c r="Q4">
        <v>22</v>
      </c>
      <c r="R4">
        <v>22</v>
      </c>
      <c r="S4">
        <v>22</v>
      </c>
      <c r="T4">
        <v>22</v>
      </c>
      <c r="U4">
        <v>22</v>
      </c>
      <c r="V4">
        <v>22</v>
      </c>
      <c r="W4">
        <v>22</v>
      </c>
      <c r="AP4" s="1">
        <f t="shared" ref="AP4:AP12" si="5">SUM(K4:AO4)</f>
        <v>286</v>
      </c>
    </row>
    <row r="5" spans="2:42" x14ac:dyDescent="0.25">
      <c r="B5" t="s">
        <v>34</v>
      </c>
      <c r="C5" s="6">
        <v>210</v>
      </c>
      <c r="D5" s="6">
        <v>210</v>
      </c>
      <c r="E5">
        <v>200</v>
      </c>
      <c r="F5" s="10">
        <f t="shared" si="2"/>
        <v>-10</v>
      </c>
      <c r="G5" s="10">
        <f t="shared" si="3"/>
        <v>2652</v>
      </c>
      <c r="H5" s="12">
        <f t="shared" ca="1" si="4"/>
        <v>3570</v>
      </c>
      <c r="I5" s="10">
        <f t="shared" ca="1" si="0"/>
        <v>-918</v>
      </c>
      <c r="J5" s="3">
        <f ca="1">J3/29</f>
        <v>409.85221674876851</v>
      </c>
      <c r="K5">
        <v>204</v>
      </c>
      <c r="L5">
        <v>204</v>
      </c>
      <c r="M5">
        <v>204</v>
      </c>
      <c r="N5">
        <v>204</v>
      </c>
      <c r="O5">
        <v>204</v>
      </c>
      <c r="P5">
        <v>204</v>
      </c>
      <c r="Q5">
        <v>204</v>
      </c>
      <c r="R5">
        <v>204</v>
      </c>
      <c r="S5">
        <v>204</v>
      </c>
      <c r="T5">
        <v>204</v>
      </c>
      <c r="U5">
        <v>204</v>
      </c>
      <c r="V5">
        <v>204</v>
      </c>
      <c r="W5">
        <v>204</v>
      </c>
      <c r="AP5" s="1">
        <f t="shared" si="5"/>
        <v>2652</v>
      </c>
    </row>
    <row r="6" spans="2:42" x14ac:dyDescent="0.25">
      <c r="B6" t="s">
        <v>35</v>
      </c>
      <c r="C6" s="9">
        <v>2</v>
      </c>
      <c r="D6" s="9">
        <v>0</v>
      </c>
      <c r="E6">
        <f t="shared" si="1"/>
        <v>1</v>
      </c>
      <c r="F6" s="10">
        <f t="shared" si="2"/>
        <v>1</v>
      </c>
      <c r="G6" s="10">
        <f t="shared" si="3"/>
        <v>33</v>
      </c>
      <c r="H6" s="12">
        <f t="shared" ca="1" si="4"/>
        <v>0</v>
      </c>
      <c r="I6" s="10">
        <f t="shared" ca="1" si="0"/>
        <v>33</v>
      </c>
      <c r="J6" s="3"/>
      <c r="K6">
        <v>2</v>
      </c>
      <c r="L6">
        <v>3</v>
      </c>
      <c r="M6">
        <v>1</v>
      </c>
      <c r="N6">
        <v>5</v>
      </c>
      <c r="O6">
        <v>2</v>
      </c>
      <c r="P6">
        <v>4</v>
      </c>
      <c r="Q6">
        <v>3</v>
      </c>
      <c r="R6">
        <v>4</v>
      </c>
      <c r="S6">
        <v>1</v>
      </c>
      <c r="T6">
        <v>1</v>
      </c>
      <c r="U6">
        <v>3</v>
      </c>
      <c r="V6">
        <v>3</v>
      </c>
      <c r="W6">
        <v>1</v>
      </c>
      <c r="AP6" s="1">
        <f t="shared" si="5"/>
        <v>33</v>
      </c>
    </row>
    <row r="7" spans="2:42" x14ac:dyDescent="0.25">
      <c r="B7" t="s">
        <v>36</v>
      </c>
      <c r="C7" s="9">
        <v>0</v>
      </c>
      <c r="D7" s="9">
        <v>0</v>
      </c>
      <c r="E7">
        <f t="shared" si="1"/>
        <v>2</v>
      </c>
      <c r="F7" s="10">
        <f t="shared" si="2"/>
        <v>2</v>
      </c>
      <c r="G7" s="10">
        <f t="shared" si="3"/>
        <v>18</v>
      </c>
      <c r="H7" s="12">
        <f t="shared" ca="1" si="4"/>
        <v>0</v>
      </c>
      <c r="I7" s="10">
        <f t="shared" ca="1" si="0"/>
        <v>18</v>
      </c>
      <c r="J7" s="3"/>
      <c r="K7">
        <v>2</v>
      </c>
      <c r="L7">
        <v>0</v>
      </c>
      <c r="M7">
        <v>0</v>
      </c>
      <c r="N7">
        <v>2</v>
      </c>
      <c r="O7">
        <v>1</v>
      </c>
      <c r="P7">
        <v>2</v>
      </c>
      <c r="Q7">
        <v>1</v>
      </c>
      <c r="R7">
        <v>2</v>
      </c>
      <c r="S7">
        <v>2</v>
      </c>
      <c r="T7">
        <v>2</v>
      </c>
      <c r="U7">
        <v>1</v>
      </c>
      <c r="V7">
        <v>1</v>
      </c>
      <c r="W7">
        <v>2</v>
      </c>
      <c r="AP7" s="1">
        <f t="shared" si="5"/>
        <v>18</v>
      </c>
    </row>
    <row r="8" spans="2:42" x14ac:dyDescent="0.25">
      <c r="B8" t="s">
        <v>83</v>
      </c>
      <c r="C8" s="9">
        <v>18</v>
      </c>
      <c r="D8" s="9">
        <f>C8</f>
        <v>18</v>
      </c>
      <c r="E8">
        <f t="shared" si="1"/>
        <v>7</v>
      </c>
      <c r="F8" s="10">
        <f t="shared" si="2"/>
        <v>-11</v>
      </c>
      <c r="G8" s="10">
        <f t="shared" si="3"/>
        <v>105</v>
      </c>
      <c r="H8" s="12">
        <f t="shared" ca="1" si="4"/>
        <v>306</v>
      </c>
      <c r="I8" s="10">
        <f t="shared" ca="1" si="0"/>
        <v>-201</v>
      </c>
      <c r="J8" s="3"/>
      <c r="K8" s="4">
        <v>9</v>
      </c>
      <c r="L8" s="4">
        <v>8</v>
      </c>
      <c r="M8" s="4">
        <v>8</v>
      </c>
      <c r="N8" s="4">
        <v>8</v>
      </c>
      <c r="O8" s="4">
        <v>7</v>
      </c>
      <c r="P8" s="4">
        <v>9</v>
      </c>
      <c r="Q8" s="4">
        <v>8</v>
      </c>
      <c r="R8" s="4">
        <v>8</v>
      </c>
      <c r="S8" s="4">
        <v>7</v>
      </c>
      <c r="T8" s="4">
        <v>8</v>
      </c>
      <c r="U8" s="4">
        <v>9</v>
      </c>
      <c r="V8" s="4">
        <v>9</v>
      </c>
      <c r="W8" s="4">
        <v>7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">
        <f t="shared" si="5"/>
        <v>105</v>
      </c>
    </row>
    <row r="9" spans="2:42" x14ac:dyDescent="0.25">
      <c r="B9" t="s">
        <v>93</v>
      </c>
      <c r="C9" s="9">
        <v>10</v>
      </c>
      <c r="D9" s="9">
        <f t="shared" ref="D9:D11" si="6">C9</f>
        <v>10</v>
      </c>
      <c r="E9">
        <f t="shared" si="1"/>
        <v>9</v>
      </c>
      <c r="F9" s="10">
        <f t="shared" si="2"/>
        <v>-1</v>
      </c>
      <c r="G9" s="10">
        <f t="shared" si="3"/>
        <v>106</v>
      </c>
      <c r="H9" s="12">
        <f t="shared" ca="1" si="4"/>
        <v>170</v>
      </c>
      <c r="I9" s="10">
        <f t="shared" ca="1" si="0"/>
        <v>-64</v>
      </c>
      <c r="J9" s="3"/>
      <c r="K9" s="4">
        <v>8</v>
      </c>
      <c r="L9" s="4">
        <v>9</v>
      </c>
      <c r="M9" s="4">
        <v>8</v>
      </c>
      <c r="N9" s="4">
        <v>8</v>
      </c>
      <c r="O9" s="4">
        <v>9</v>
      </c>
      <c r="P9" s="4">
        <v>8</v>
      </c>
      <c r="Q9" s="4">
        <v>8</v>
      </c>
      <c r="R9" s="4">
        <v>8</v>
      </c>
      <c r="S9" s="4">
        <v>7</v>
      </c>
      <c r="T9" s="4">
        <v>9</v>
      </c>
      <c r="U9" s="4">
        <v>8</v>
      </c>
      <c r="V9" s="4">
        <v>7</v>
      </c>
      <c r="W9" s="4">
        <v>9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">
        <f t="shared" si="5"/>
        <v>106</v>
      </c>
    </row>
    <row r="10" spans="2:42" x14ac:dyDescent="0.25">
      <c r="B10" t="s">
        <v>89</v>
      </c>
      <c r="C10" s="9">
        <v>9</v>
      </c>
      <c r="D10" s="9">
        <f t="shared" si="6"/>
        <v>9</v>
      </c>
      <c r="E10">
        <f t="shared" si="1"/>
        <v>9</v>
      </c>
      <c r="F10" s="10">
        <f t="shared" si="2"/>
        <v>0</v>
      </c>
      <c r="G10" s="10">
        <f t="shared" si="3"/>
        <v>103</v>
      </c>
      <c r="H10" s="12">
        <f t="shared" ca="1" si="4"/>
        <v>153</v>
      </c>
      <c r="I10" s="10">
        <f t="shared" ca="1" si="0"/>
        <v>-50</v>
      </c>
      <c r="J10" s="3"/>
      <c r="K10" s="4">
        <v>9</v>
      </c>
      <c r="L10" s="4">
        <v>9</v>
      </c>
      <c r="M10" s="4">
        <v>8</v>
      </c>
      <c r="N10" s="4">
        <v>7</v>
      </c>
      <c r="O10" s="4">
        <v>7</v>
      </c>
      <c r="P10" s="4">
        <v>7</v>
      </c>
      <c r="Q10" s="4">
        <v>7</v>
      </c>
      <c r="R10" s="4">
        <v>9</v>
      </c>
      <c r="S10" s="4">
        <v>9</v>
      </c>
      <c r="T10" s="4">
        <v>7</v>
      </c>
      <c r="U10" s="4">
        <v>8</v>
      </c>
      <c r="V10" s="4">
        <v>7</v>
      </c>
      <c r="W10" s="4">
        <v>9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">
        <f t="shared" si="5"/>
        <v>103</v>
      </c>
    </row>
    <row r="11" spans="2:42" x14ac:dyDescent="0.25">
      <c r="B11" t="s">
        <v>90</v>
      </c>
      <c r="C11" s="9">
        <f>SUM(C8:C10)</f>
        <v>37</v>
      </c>
      <c r="D11" s="9">
        <f t="shared" si="6"/>
        <v>37</v>
      </c>
      <c r="E11">
        <f t="shared" si="1"/>
        <v>7</v>
      </c>
      <c r="F11" s="10">
        <f t="shared" si="2"/>
        <v>-30</v>
      </c>
      <c r="G11" s="10">
        <f t="shared" si="3"/>
        <v>104</v>
      </c>
      <c r="H11" s="12">
        <f t="shared" ca="1" si="4"/>
        <v>629</v>
      </c>
      <c r="I11" s="10">
        <f t="shared" ca="1" si="0"/>
        <v>-525</v>
      </c>
      <c r="J11" s="3"/>
      <c r="K11" s="4">
        <v>8</v>
      </c>
      <c r="L11" s="4">
        <v>7</v>
      </c>
      <c r="M11" s="4">
        <v>7</v>
      </c>
      <c r="N11" s="4">
        <v>9</v>
      </c>
      <c r="O11" s="4">
        <v>8</v>
      </c>
      <c r="P11" s="4">
        <v>9</v>
      </c>
      <c r="Q11" s="4">
        <v>9</v>
      </c>
      <c r="R11" s="4">
        <v>7</v>
      </c>
      <c r="S11" s="4">
        <v>7</v>
      </c>
      <c r="T11" s="4">
        <v>9</v>
      </c>
      <c r="U11" s="4">
        <v>8</v>
      </c>
      <c r="V11" s="4">
        <v>9</v>
      </c>
      <c r="W11" s="4">
        <v>7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">
        <f t="shared" si="5"/>
        <v>104</v>
      </c>
    </row>
    <row r="12" spans="2:42" x14ac:dyDescent="0.25">
      <c r="B12" t="s">
        <v>37</v>
      </c>
      <c r="C12" s="9">
        <v>0</v>
      </c>
      <c r="D12" s="9">
        <v>0</v>
      </c>
      <c r="E12">
        <f t="shared" si="1"/>
        <v>5</v>
      </c>
      <c r="F12" s="10">
        <f t="shared" si="2"/>
        <v>5</v>
      </c>
      <c r="G12" s="10">
        <f t="shared" si="3"/>
        <v>43</v>
      </c>
      <c r="H12" s="12">
        <f t="shared" ca="1" si="4"/>
        <v>0</v>
      </c>
      <c r="I12" s="10">
        <f t="shared" ca="1" si="0"/>
        <v>43</v>
      </c>
      <c r="J12" s="3"/>
      <c r="K12">
        <v>5</v>
      </c>
      <c r="L12">
        <v>5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1</v>
      </c>
      <c r="T12">
        <v>3</v>
      </c>
      <c r="U12">
        <v>1</v>
      </c>
      <c r="V12">
        <v>4</v>
      </c>
      <c r="W12">
        <v>5</v>
      </c>
      <c r="AP12" s="1">
        <f t="shared" si="5"/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6"/>
  <sheetViews>
    <sheetView workbookViewId="0">
      <selection activeCell="AA20" sqref="AA20"/>
    </sheetView>
  </sheetViews>
  <sheetFormatPr defaultColWidth="12.7109375" defaultRowHeight="15" x14ac:dyDescent="0.25"/>
  <cols>
    <col min="1" max="1" width="4.140625" customWidth="1"/>
    <col min="5" max="5" width="10.7109375" bestFit="1" customWidth="1"/>
    <col min="6" max="6" width="12.85546875" bestFit="1" customWidth="1"/>
    <col min="7" max="7" width="8.28515625" bestFit="1" customWidth="1"/>
    <col min="8" max="8" width="11.7109375" bestFit="1" customWidth="1"/>
    <col min="9" max="9" width="13.140625" bestFit="1" customWidth="1"/>
    <col min="10" max="10" width="12.5703125" bestFit="1" customWidth="1"/>
    <col min="11" max="19" width="4" bestFit="1" customWidth="1"/>
    <col min="20" max="24" width="4.28515625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t="s">
        <v>32</v>
      </c>
      <c r="C3" s="6">
        <v>20000</v>
      </c>
      <c r="D3" s="15">
        <f>C3/29</f>
        <v>689.65517241379314</v>
      </c>
      <c r="E3">
        <f>LOOKUP(2,1/(K3:AO3&lt;&gt;""),K3:AO3)</f>
        <v>630</v>
      </c>
      <c r="F3" s="10">
        <f>E3-D3</f>
        <v>-59.655172413793139</v>
      </c>
      <c r="G3" s="10">
        <f>AP3</f>
        <v>8820</v>
      </c>
      <c r="H3" s="12">
        <f ca="1">D3*(DAY(TODAY())-2)</f>
        <v>11034.48275862069</v>
      </c>
      <c r="I3" s="10">
        <f t="shared" ref="I3:I20" ca="1" si="0">G3-H3</f>
        <v>-2214.4827586206902</v>
      </c>
      <c r="J3" s="5">
        <f ca="1">(C3-G3)/(EOMONTH(TODAY(),0)-TODAY()+1)</f>
        <v>798.57142857142856</v>
      </c>
      <c r="K3">
        <v>630</v>
      </c>
      <c r="L3">
        <v>630</v>
      </c>
      <c r="M3">
        <v>630</v>
      </c>
      <c r="N3">
        <v>630</v>
      </c>
      <c r="O3">
        <v>630</v>
      </c>
      <c r="P3">
        <v>630</v>
      </c>
      <c r="Q3">
        <v>630</v>
      </c>
      <c r="R3">
        <v>630</v>
      </c>
      <c r="S3">
        <v>630</v>
      </c>
      <c r="T3">
        <v>630</v>
      </c>
      <c r="U3">
        <v>630</v>
      </c>
      <c r="V3">
        <v>630</v>
      </c>
      <c r="W3">
        <v>630</v>
      </c>
      <c r="X3">
        <v>630</v>
      </c>
      <c r="AP3" s="1">
        <f>SUM(K3:AO3)</f>
        <v>8820</v>
      </c>
    </row>
    <row r="4" spans="2:42" x14ac:dyDescent="0.25">
      <c r="B4" t="s">
        <v>106</v>
      </c>
      <c r="C4" s="6">
        <f>$C$3/6</f>
        <v>3333.3333333333335</v>
      </c>
      <c r="D4" s="6">
        <f t="shared" ref="D4:D9" si="1">C4/29</f>
        <v>114.94252873563219</v>
      </c>
      <c r="E4">
        <f t="shared" ref="E4:E20" si="2">LOOKUP(2,1/(K4:AO4&lt;&gt;""),K4:AO4)</f>
        <v>112</v>
      </c>
      <c r="F4" s="10">
        <f t="shared" ref="F4:F20" si="3">E4-D4</f>
        <v>-2.9425287356321945</v>
      </c>
      <c r="G4" s="10">
        <f t="shared" ref="G4:G20" si="4">AP4</f>
        <v>1568</v>
      </c>
      <c r="H4" s="12">
        <f t="shared" ref="H4:H20" ca="1" si="5">D4*(DAY(TODAY())-2)</f>
        <v>1839.0804597701151</v>
      </c>
      <c r="I4" s="10">
        <f t="shared" ca="1" si="0"/>
        <v>-271.08045977011511</v>
      </c>
      <c r="J4" s="5"/>
      <c r="K4">
        <v>112</v>
      </c>
      <c r="L4">
        <v>112</v>
      </c>
      <c r="M4">
        <v>112</v>
      </c>
      <c r="N4">
        <v>112</v>
      </c>
      <c r="O4">
        <v>112</v>
      </c>
      <c r="P4">
        <v>112</v>
      </c>
      <c r="Q4">
        <v>112</v>
      </c>
      <c r="R4">
        <v>112</v>
      </c>
      <c r="S4">
        <v>112</v>
      </c>
      <c r="T4">
        <v>112</v>
      </c>
      <c r="U4">
        <v>112</v>
      </c>
      <c r="V4">
        <v>112</v>
      </c>
      <c r="W4">
        <v>112</v>
      </c>
      <c r="X4">
        <v>112</v>
      </c>
      <c r="AP4" s="1">
        <f t="shared" ref="AP4:AP20" si="6">SUM(K4:AO4)</f>
        <v>1568</v>
      </c>
    </row>
    <row r="5" spans="2:42" x14ac:dyDescent="0.25">
      <c r="B5" t="s">
        <v>107</v>
      </c>
      <c r="C5" s="6">
        <f t="shared" ref="C5:C9" si="7">$C$3/6</f>
        <v>3333.3333333333335</v>
      </c>
      <c r="D5" s="6">
        <f t="shared" si="1"/>
        <v>114.94252873563219</v>
      </c>
      <c r="E5">
        <f t="shared" si="2"/>
        <v>116</v>
      </c>
      <c r="F5" s="10">
        <f t="shared" si="3"/>
        <v>1.0574712643678055</v>
      </c>
      <c r="G5" s="10">
        <f t="shared" si="4"/>
        <v>1624</v>
      </c>
      <c r="H5" s="12">
        <f t="shared" ca="1" si="5"/>
        <v>1839.0804597701151</v>
      </c>
      <c r="I5" s="10">
        <f t="shared" ca="1" si="0"/>
        <v>-215.08045977011511</v>
      </c>
      <c r="J5" s="5"/>
      <c r="K5">
        <v>116</v>
      </c>
      <c r="L5">
        <v>116</v>
      </c>
      <c r="M5">
        <v>116</v>
      </c>
      <c r="N5">
        <v>116</v>
      </c>
      <c r="O5">
        <v>116</v>
      </c>
      <c r="P5">
        <v>116</v>
      </c>
      <c r="Q5">
        <v>116</v>
      </c>
      <c r="R5">
        <v>116</v>
      </c>
      <c r="S5">
        <v>116</v>
      </c>
      <c r="T5">
        <v>116</v>
      </c>
      <c r="U5">
        <v>116</v>
      </c>
      <c r="V5">
        <v>116</v>
      </c>
      <c r="W5">
        <v>116</v>
      </c>
      <c r="X5">
        <v>116</v>
      </c>
      <c r="AP5" s="1">
        <f t="shared" si="6"/>
        <v>1624</v>
      </c>
    </row>
    <row r="6" spans="2:42" x14ac:dyDescent="0.25">
      <c r="B6" t="s">
        <v>108</v>
      </c>
      <c r="C6" s="6">
        <f t="shared" si="7"/>
        <v>3333.3333333333335</v>
      </c>
      <c r="D6" s="6">
        <f t="shared" si="1"/>
        <v>114.94252873563219</v>
      </c>
      <c r="E6">
        <f t="shared" si="2"/>
        <v>1</v>
      </c>
      <c r="F6" s="10">
        <f t="shared" si="3"/>
        <v>-113.94252873563219</v>
      </c>
      <c r="G6" s="10">
        <f t="shared" si="4"/>
        <v>14</v>
      </c>
      <c r="H6" s="12">
        <f t="shared" ca="1" si="5"/>
        <v>1839.0804597701151</v>
      </c>
      <c r="I6" s="10">
        <f t="shared" ca="1" si="0"/>
        <v>-1825.0804597701151</v>
      </c>
      <c r="J6" s="5"/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AP6" s="1">
        <f t="shared" si="6"/>
        <v>14</v>
      </c>
    </row>
    <row r="7" spans="2:42" x14ac:dyDescent="0.25">
      <c r="B7" t="s">
        <v>109</v>
      </c>
      <c r="C7" s="6">
        <f t="shared" si="7"/>
        <v>3333.3333333333335</v>
      </c>
      <c r="D7" s="6">
        <f t="shared" si="1"/>
        <v>114.94252873563219</v>
      </c>
      <c r="E7">
        <f t="shared" si="2"/>
        <v>112</v>
      </c>
      <c r="F7" s="10">
        <f t="shared" si="3"/>
        <v>-2.9425287356321945</v>
      </c>
      <c r="G7" s="10">
        <f t="shared" si="4"/>
        <v>1568</v>
      </c>
      <c r="H7" s="12">
        <f t="shared" ca="1" si="5"/>
        <v>1839.0804597701151</v>
      </c>
      <c r="I7" s="10">
        <f t="shared" ca="1" si="0"/>
        <v>-271.08045977011511</v>
      </c>
      <c r="J7" s="5"/>
      <c r="K7">
        <v>112</v>
      </c>
      <c r="L7">
        <v>112</v>
      </c>
      <c r="M7">
        <v>112</v>
      </c>
      <c r="N7">
        <v>112</v>
      </c>
      <c r="O7">
        <v>112</v>
      </c>
      <c r="P7">
        <v>112</v>
      </c>
      <c r="Q7">
        <v>112</v>
      </c>
      <c r="R7">
        <v>112</v>
      </c>
      <c r="S7">
        <v>112</v>
      </c>
      <c r="T7">
        <v>112</v>
      </c>
      <c r="U7">
        <v>112</v>
      </c>
      <c r="V7">
        <v>112</v>
      </c>
      <c r="W7">
        <v>112</v>
      </c>
      <c r="X7">
        <v>112</v>
      </c>
      <c r="AP7" s="1">
        <f t="shared" si="6"/>
        <v>1568</v>
      </c>
    </row>
    <row r="8" spans="2:42" x14ac:dyDescent="0.25">
      <c r="B8" t="s">
        <v>110</v>
      </c>
      <c r="C8" s="6">
        <f t="shared" si="7"/>
        <v>3333.3333333333335</v>
      </c>
      <c r="D8" s="6">
        <f t="shared" si="1"/>
        <v>114.94252873563219</v>
      </c>
      <c r="E8">
        <f t="shared" si="2"/>
        <v>115</v>
      </c>
      <c r="F8" s="10">
        <f t="shared" si="3"/>
        <v>5.7471264367805475E-2</v>
      </c>
      <c r="G8" s="10">
        <f t="shared" si="4"/>
        <v>1610</v>
      </c>
      <c r="H8" s="12">
        <f t="shared" ca="1" si="5"/>
        <v>1839.0804597701151</v>
      </c>
      <c r="I8" s="10">
        <f t="shared" ca="1" si="0"/>
        <v>-229.08045977011511</v>
      </c>
      <c r="J8" s="5"/>
      <c r="K8">
        <v>115</v>
      </c>
      <c r="L8">
        <v>115</v>
      </c>
      <c r="M8">
        <v>115</v>
      </c>
      <c r="N8">
        <v>115</v>
      </c>
      <c r="O8">
        <v>115</v>
      </c>
      <c r="P8">
        <v>115</v>
      </c>
      <c r="Q8">
        <v>115</v>
      </c>
      <c r="R8">
        <v>115</v>
      </c>
      <c r="S8">
        <v>115</v>
      </c>
      <c r="T8">
        <v>115</v>
      </c>
      <c r="U8">
        <v>115</v>
      </c>
      <c r="V8">
        <v>115</v>
      </c>
      <c r="W8">
        <v>115</v>
      </c>
      <c r="X8">
        <v>115</v>
      </c>
      <c r="AP8" s="1">
        <f t="shared" si="6"/>
        <v>1610</v>
      </c>
    </row>
    <row r="9" spans="2:42" x14ac:dyDescent="0.25">
      <c r="B9" t="s">
        <v>111</v>
      </c>
      <c r="C9" s="6">
        <f t="shared" si="7"/>
        <v>3333.3333333333335</v>
      </c>
      <c r="D9" s="6">
        <f t="shared" si="1"/>
        <v>114.94252873563219</v>
      </c>
      <c r="E9">
        <f t="shared" si="2"/>
        <v>26</v>
      </c>
      <c r="F9" s="10">
        <f t="shared" si="3"/>
        <v>-88.942528735632195</v>
      </c>
      <c r="G9" s="10">
        <f t="shared" si="4"/>
        <v>182</v>
      </c>
      <c r="H9" s="12">
        <f t="shared" ca="1" si="5"/>
        <v>1839.0804597701151</v>
      </c>
      <c r="I9" s="10">
        <f t="shared" ca="1" si="0"/>
        <v>-1657.0804597701151</v>
      </c>
      <c r="J9" s="5"/>
      <c r="K9">
        <v>0</v>
      </c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  <c r="S9">
        <v>16</v>
      </c>
      <c r="T9">
        <v>18</v>
      </c>
      <c r="U9">
        <v>20</v>
      </c>
      <c r="V9">
        <v>22</v>
      </c>
      <c r="W9">
        <v>24</v>
      </c>
      <c r="X9">
        <v>26</v>
      </c>
      <c r="AP9" s="1">
        <f t="shared" si="6"/>
        <v>182</v>
      </c>
    </row>
    <row r="10" spans="2:42" x14ac:dyDescent="0.25">
      <c r="B10" t="s">
        <v>95</v>
      </c>
      <c r="C10" s="6">
        <v>35</v>
      </c>
      <c r="D10" s="6">
        <f>C10</f>
        <v>35</v>
      </c>
      <c r="E10">
        <f t="shared" si="2"/>
        <v>38</v>
      </c>
      <c r="F10" s="10">
        <f t="shared" si="3"/>
        <v>3</v>
      </c>
      <c r="G10" s="10">
        <f t="shared" si="4"/>
        <v>532</v>
      </c>
      <c r="H10" s="12">
        <f t="shared" ca="1" si="5"/>
        <v>560</v>
      </c>
      <c r="I10" s="10">
        <f t="shared" ca="1" si="0"/>
        <v>-28</v>
      </c>
      <c r="J10" s="5"/>
      <c r="K10">
        <v>38</v>
      </c>
      <c r="L10">
        <v>38</v>
      </c>
      <c r="M10">
        <v>38</v>
      </c>
      <c r="N10">
        <v>38</v>
      </c>
      <c r="O10">
        <v>38</v>
      </c>
      <c r="P10">
        <v>38</v>
      </c>
      <c r="Q10">
        <v>38</v>
      </c>
      <c r="R10">
        <v>38</v>
      </c>
      <c r="S10">
        <v>38</v>
      </c>
      <c r="T10">
        <v>38</v>
      </c>
      <c r="U10">
        <v>38</v>
      </c>
      <c r="V10">
        <v>38</v>
      </c>
      <c r="W10">
        <v>38</v>
      </c>
      <c r="X10">
        <v>38</v>
      </c>
      <c r="AP10" s="1">
        <f t="shared" si="6"/>
        <v>532</v>
      </c>
    </row>
    <row r="11" spans="2:42" x14ac:dyDescent="0.25">
      <c r="B11" t="s">
        <v>96</v>
      </c>
      <c r="C11" s="6">
        <v>35</v>
      </c>
      <c r="D11" s="6">
        <f t="shared" ref="D11:D18" si="8">C11</f>
        <v>35</v>
      </c>
      <c r="E11">
        <f t="shared" si="2"/>
        <v>38</v>
      </c>
      <c r="F11" s="10">
        <f t="shared" si="3"/>
        <v>3</v>
      </c>
      <c r="G11" s="10">
        <f t="shared" si="4"/>
        <v>532</v>
      </c>
      <c r="H11" s="12">
        <f t="shared" ca="1" si="5"/>
        <v>560</v>
      </c>
      <c r="I11" s="10">
        <f t="shared" ca="1" si="0"/>
        <v>-28</v>
      </c>
      <c r="J11" s="5"/>
      <c r="K11">
        <v>38</v>
      </c>
      <c r="L11">
        <v>38</v>
      </c>
      <c r="M11">
        <v>38</v>
      </c>
      <c r="N11">
        <v>38</v>
      </c>
      <c r="O11">
        <v>38</v>
      </c>
      <c r="P11">
        <v>38</v>
      </c>
      <c r="Q11">
        <v>38</v>
      </c>
      <c r="R11">
        <v>38</v>
      </c>
      <c r="S11">
        <v>38</v>
      </c>
      <c r="T11">
        <v>38</v>
      </c>
      <c r="U11">
        <v>38</v>
      </c>
      <c r="V11">
        <v>38</v>
      </c>
      <c r="W11">
        <v>38</v>
      </c>
      <c r="X11">
        <v>38</v>
      </c>
      <c r="AP11" s="1">
        <f t="shared" si="6"/>
        <v>532</v>
      </c>
    </row>
    <row r="12" spans="2:42" x14ac:dyDescent="0.25">
      <c r="B12" t="s">
        <v>97</v>
      </c>
      <c r="C12" s="6">
        <v>35</v>
      </c>
      <c r="D12" s="6">
        <f t="shared" si="8"/>
        <v>35</v>
      </c>
      <c r="E12">
        <f t="shared" si="2"/>
        <v>38</v>
      </c>
      <c r="F12" s="10">
        <f t="shared" si="3"/>
        <v>3</v>
      </c>
      <c r="G12" s="10">
        <f t="shared" si="4"/>
        <v>532</v>
      </c>
      <c r="H12" s="12">
        <f t="shared" ca="1" si="5"/>
        <v>560</v>
      </c>
      <c r="I12" s="10">
        <f t="shared" ca="1" si="0"/>
        <v>-28</v>
      </c>
      <c r="J12" s="5"/>
      <c r="K12">
        <v>38</v>
      </c>
      <c r="L12">
        <v>38</v>
      </c>
      <c r="M12">
        <v>38</v>
      </c>
      <c r="N12">
        <v>38</v>
      </c>
      <c r="O12">
        <v>38</v>
      </c>
      <c r="P12">
        <v>38</v>
      </c>
      <c r="Q12">
        <v>38</v>
      </c>
      <c r="R12">
        <v>38</v>
      </c>
      <c r="S12">
        <v>38</v>
      </c>
      <c r="T12">
        <v>38</v>
      </c>
      <c r="U12">
        <v>38</v>
      </c>
      <c r="V12">
        <v>38</v>
      </c>
      <c r="W12">
        <v>38</v>
      </c>
      <c r="X12">
        <v>38</v>
      </c>
      <c r="AP12" s="1">
        <f t="shared" si="6"/>
        <v>532</v>
      </c>
    </row>
    <row r="13" spans="2:42" x14ac:dyDescent="0.25">
      <c r="B13" t="s">
        <v>112</v>
      </c>
      <c r="C13" s="6">
        <v>35</v>
      </c>
      <c r="D13" s="6">
        <f t="shared" si="8"/>
        <v>35</v>
      </c>
      <c r="E13">
        <f t="shared" si="2"/>
        <v>38</v>
      </c>
      <c r="F13" s="10">
        <f t="shared" si="3"/>
        <v>3</v>
      </c>
      <c r="G13" s="10">
        <f t="shared" si="4"/>
        <v>532</v>
      </c>
      <c r="H13" s="12">
        <f t="shared" ca="1" si="5"/>
        <v>560</v>
      </c>
      <c r="I13" s="10">
        <f t="shared" ca="1" si="0"/>
        <v>-28</v>
      </c>
      <c r="J13" s="5"/>
      <c r="K13">
        <v>38</v>
      </c>
      <c r="L13">
        <v>38</v>
      </c>
      <c r="M13">
        <v>38</v>
      </c>
      <c r="N13">
        <v>38</v>
      </c>
      <c r="O13">
        <v>38</v>
      </c>
      <c r="P13">
        <v>38</v>
      </c>
      <c r="Q13">
        <v>38</v>
      </c>
      <c r="R13">
        <v>38</v>
      </c>
      <c r="S13">
        <v>38</v>
      </c>
      <c r="T13">
        <v>38</v>
      </c>
      <c r="U13">
        <v>38</v>
      </c>
      <c r="V13">
        <v>38</v>
      </c>
      <c r="W13">
        <v>38</v>
      </c>
      <c r="X13">
        <v>38</v>
      </c>
      <c r="AP13" s="1">
        <f t="shared" si="6"/>
        <v>532</v>
      </c>
    </row>
    <row r="14" spans="2:42" x14ac:dyDescent="0.25">
      <c r="B14" t="s">
        <v>113</v>
      </c>
      <c r="C14" s="6">
        <v>35</v>
      </c>
      <c r="D14" s="6">
        <f t="shared" si="8"/>
        <v>35</v>
      </c>
      <c r="E14">
        <f t="shared" si="2"/>
        <v>38</v>
      </c>
      <c r="F14" s="10">
        <f t="shared" si="3"/>
        <v>3</v>
      </c>
      <c r="G14" s="10">
        <f t="shared" si="4"/>
        <v>532</v>
      </c>
      <c r="H14" s="12">
        <f t="shared" ca="1" si="5"/>
        <v>560</v>
      </c>
      <c r="I14" s="10">
        <f t="shared" ca="1" si="0"/>
        <v>-28</v>
      </c>
      <c r="J14" s="5"/>
      <c r="K14">
        <v>38</v>
      </c>
      <c r="L14">
        <v>38</v>
      </c>
      <c r="M14">
        <v>38</v>
      </c>
      <c r="N14">
        <v>38</v>
      </c>
      <c r="O14">
        <v>38</v>
      </c>
      <c r="P14">
        <v>38</v>
      </c>
      <c r="Q14">
        <v>38</v>
      </c>
      <c r="R14">
        <v>38</v>
      </c>
      <c r="S14">
        <v>38</v>
      </c>
      <c r="T14">
        <v>38</v>
      </c>
      <c r="U14">
        <v>38</v>
      </c>
      <c r="V14">
        <v>38</v>
      </c>
      <c r="W14">
        <v>38</v>
      </c>
      <c r="X14">
        <v>38</v>
      </c>
      <c r="AP14" s="1">
        <f t="shared" si="6"/>
        <v>532</v>
      </c>
    </row>
    <row r="15" spans="2:42" x14ac:dyDescent="0.25">
      <c r="B15" t="s">
        <v>114</v>
      </c>
      <c r="C15" s="6">
        <v>35</v>
      </c>
      <c r="D15" s="6">
        <f t="shared" si="8"/>
        <v>35</v>
      </c>
      <c r="E15">
        <f t="shared" si="2"/>
        <v>38</v>
      </c>
      <c r="F15" s="10">
        <f t="shared" si="3"/>
        <v>3</v>
      </c>
      <c r="G15" s="10">
        <f t="shared" si="4"/>
        <v>532</v>
      </c>
      <c r="H15" s="12">
        <f t="shared" ca="1" si="5"/>
        <v>560</v>
      </c>
      <c r="I15" s="10">
        <f t="shared" ca="1" si="0"/>
        <v>-28</v>
      </c>
      <c r="J15" s="5"/>
      <c r="K15">
        <v>38</v>
      </c>
      <c r="L15">
        <v>38</v>
      </c>
      <c r="M15">
        <v>38</v>
      </c>
      <c r="N15">
        <v>38</v>
      </c>
      <c r="O15">
        <v>38</v>
      </c>
      <c r="P15">
        <v>38</v>
      </c>
      <c r="Q15">
        <v>38</v>
      </c>
      <c r="R15">
        <v>38</v>
      </c>
      <c r="S15">
        <v>38</v>
      </c>
      <c r="T15">
        <v>38</v>
      </c>
      <c r="U15">
        <v>38</v>
      </c>
      <c r="V15">
        <v>38</v>
      </c>
      <c r="W15">
        <v>38</v>
      </c>
      <c r="X15">
        <v>38</v>
      </c>
      <c r="AP15" s="1">
        <f t="shared" si="6"/>
        <v>532</v>
      </c>
    </row>
    <row r="16" spans="2:42" x14ac:dyDescent="0.25">
      <c r="B16" t="s">
        <v>115</v>
      </c>
      <c r="C16" s="9">
        <v>10</v>
      </c>
      <c r="D16" s="6">
        <f t="shared" si="8"/>
        <v>10</v>
      </c>
      <c r="E16">
        <f t="shared" si="2"/>
        <v>8</v>
      </c>
      <c r="F16" s="10">
        <f t="shared" si="3"/>
        <v>-2</v>
      </c>
      <c r="G16" s="10">
        <f t="shared" si="4"/>
        <v>112</v>
      </c>
      <c r="H16" s="12">
        <f t="shared" ca="1" si="5"/>
        <v>160</v>
      </c>
      <c r="I16" s="10">
        <f t="shared" ca="1" si="0"/>
        <v>-48</v>
      </c>
      <c r="J16" s="5"/>
      <c r="K16">
        <v>8</v>
      </c>
      <c r="L16">
        <v>8</v>
      </c>
      <c r="M16">
        <v>8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  <c r="U16">
        <v>8</v>
      </c>
      <c r="V16">
        <v>8</v>
      </c>
      <c r="W16">
        <v>8</v>
      </c>
      <c r="X16">
        <v>8</v>
      </c>
      <c r="AP16" s="1">
        <f t="shared" si="6"/>
        <v>112</v>
      </c>
    </row>
    <row r="17" spans="2:42" x14ac:dyDescent="0.25">
      <c r="B17" t="s">
        <v>116</v>
      </c>
      <c r="C17" s="9">
        <v>4</v>
      </c>
      <c r="D17" s="6">
        <f t="shared" si="8"/>
        <v>4</v>
      </c>
      <c r="E17">
        <f t="shared" si="2"/>
        <v>4</v>
      </c>
      <c r="F17" s="10">
        <f t="shared" si="3"/>
        <v>0</v>
      </c>
      <c r="G17" s="10">
        <f t="shared" si="4"/>
        <v>56</v>
      </c>
      <c r="H17" s="12">
        <f t="shared" ca="1" si="5"/>
        <v>64</v>
      </c>
      <c r="I17" s="10">
        <f t="shared" ca="1" si="0"/>
        <v>-8</v>
      </c>
      <c r="J17" s="5"/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AP17" s="1">
        <f t="shared" si="6"/>
        <v>56</v>
      </c>
    </row>
    <row r="18" spans="2:42" x14ac:dyDescent="0.25">
      <c r="B18" t="s">
        <v>117</v>
      </c>
      <c r="C18" s="16">
        <f>C15+C16+C17</f>
        <v>49</v>
      </c>
      <c r="D18" s="6">
        <f t="shared" si="8"/>
        <v>49</v>
      </c>
      <c r="E18">
        <f t="shared" si="2"/>
        <v>45</v>
      </c>
      <c r="F18" s="10">
        <f t="shared" si="3"/>
        <v>-4</v>
      </c>
      <c r="G18" s="10">
        <f t="shared" si="4"/>
        <v>630</v>
      </c>
      <c r="H18" s="12">
        <f t="shared" ca="1" si="5"/>
        <v>784</v>
      </c>
      <c r="I18" s="10">
        <f t="shared" ca="1" si="0"/>
        <v>-154</v>
      </c>
      <c r="J18" s="5"/>
      <c r="K18">
        <v>45</v>
      </c>
      <c r="L18">
        <v>45</v>
      </c>
      <c r="M18">
        <v>45</v>
      </c>
      <c r="N18">
        <v>45</v>
      </c>
      <c r="O18">
        <v>45</v>
      </c>
      <c r="P18">
        <v>45</v>
      </c>
      <c r="Q18">
        <v>45</v>
      </c>
      <c r="R18">
        <v>45</v>
      </c>
      <c r="S18">
        <v>45</v>
      </c>
      <c r="T18">
        <v>45</v>
      </c>
      <c r="U18">
        <v>45</v>
      </c>
      <c r="V18">
        <v>45</v>
      </c>
      <c r="W18">
        <v>45</v>
      </c>
      <c r="X18">
        <v>45</v>
      </c>
      <c r="AP18" s="1">
        <f t="shared" si="6"/>
        <v>630</v>
      </c>
    </row>
    <row r="19" spans="2:42" x14ac:dyDescent="0.25">
      <c r="B19" t="s">
        <v>36</v>
      </c>
      <c r="C19" s="9">
        <v>0</v>
      </c>
      <c r="D19" s="6">
        <v>0</v>
      </c>
      <c r="E19">
        <f t="shared" si="2"/>
        <v>1</v>
      </c>
      <c r="F19" s="10">
        <f t="shared" si="3"/>
        <v>1</v>
      </c>
      <c r="G19" s="10">
        <f t="shared" si="4"/>
        <v>14</v>
      </c>
      <c r="H19" s="12">
        <f t="shared" ca="1" si="5"/>
        <v>0</v>
      </c>
      <c r="I19" s="10">
        <f t="shared" ca="1" si="0"/>
        <v>14</v>
      </c>
      <c r="J19" s="5"/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AI19" s="4"/>
      <c r="AJ19" s="4"/>
      <c r="AK19" s="4"/>
      <c r="AL19" s="4"/>
      <c r="AM19" s="4"/>
      <c r="AN19" s="4"/>
      <c r="AO19" s="4"/>
      <c r="AP19" s="1">
        <f t="shared" si="6"/>
        <v>14</v>
      </c>
    </row>
    <row r="20" spans="2:42" x14ac:dyDescent="0.25">
      <c r="B20" t="s">
        <v>37</v>
      </c>
      <c r="C20" s="9">
        <v>0</v>
      </c>
      <c r="D20" s="6">
        <v>0</v>
      </c>
      <c r="E20">
        <f t="shared" si="2"/>
        <v>1</v>
      </c>
      <c r="F20" s="10">
        <f t="shared" si="3"/>
        <v>1</v>
      </c>
      <c r="G20" s="10">
        <f t="shared" si="4"/>
        <v>14</v>
      </c>
      <c r="H20" s="12">
        <f t="shared" ca="1" si="5"/>
        <v>0</v>
      </c>
      <c r="I20" s="10">
        <f t="shared" ca="1" si="0"/>
        <v>14</v>
      </c>
      <c r="J20" s="5"/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AP20" s="1">
        <f t="shared" si="6"/>
        <v>14</v>
      </c>
    </row>
    <row r="26" spans="2:42" x14ac:dyDescent="0.25">
      <c r="M26">
        <f>A1+6</f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8"/>
  <sheetViews>
    <sheetView tabSelected="1" workbookViewId="0">
      <selection activeCell="I34" sqref="I34"/>
    </sheetView>
  </sheetViews>
  <sheetFormatPr defaultRowHeight="15" x14ac:dyDescent="0.25"/>
  <cols>
    <col min="1" max="1" width="4.85546875" customWidth="1"/>
    <col min="2" max="2" width="23" customWidth="1"/>
    <col min="3" max="3" width="12.28515625" customWidth="1"/>
    <col min="4" max="4" width="10" customWidth="1"/>
    <col min="5" max="5" width="12.85546875" customWidth="1"/>
    <col min="6" max="6" width="14.42578125" customWidth="1"/>
    <col min="7" max="7" width="10.5703125" bestFit="1" customWidth="1"/>
    <col min="8" max="8" width="11.7109375" bestFit="1" customWidth="1"/>
    <col min="9" max="9" width="14.7109375" bestFit="1" customWidth="1"/>
    <col min="10" max="10" width="14.7109375" customWidth="1"/>
    <col min="11" max="25" width="6" bestFit="1" customWidth="1"/>
    <col min="26" max="39" width="4.28515625" bestFit="1" customWidth="1"/>
    <col min="40" max="40" width="6" bestFit="1" customWidth="1"/>
    <col min="41" max="41" width="4.28515625" bestFit="1" customWidth="1"/>
    <col min="42" max="42" width="12" bestFit="1" customWidth="1"/>
  </cols>
  <sheetData>
    <row r="2" spans="2:42" x14ac:dyDescent="0.25">
      <c r="B2" t="s">
        <v>38</v>
      </c>
      <c r="C2" s="1" t="s">
        <v>59</v>
      </c>
      <c r="D2" s="11" t="s">
        <v>65</v>
      </c>
      <c r="E2" s="11" t="s">
        <v>68</v>
      </c>
      <c r="F2" s="11" t="s">
        <v>64</v>
      </c>
      <c r="G2" s="13" t="s">
        <v>67</v>
      </c>
      <c r="H2" s="13" t="s">
        <v>66</v>
      </c>
      <c r="I2" s="13" t="s">
        <v>69</v>
      </c>
      <c r="J2" s="13" t="s">
        <v>92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30</v>
      </c>
      <c r="AP2" s="2" t="s">
        <v>31</v>
      </c>
    </row>
    <row r="3" spans="2:42" x14ac:dyDescent="0.25">
      <c r="B3" s="1" t="s">
        <v>41</v>
      </c>
      <c r="C3" s="6">
        <f>286000*1.55</f>
        <v>443300</v>
      </c>
      <c r="D3" s="15">
        <f>C3/29</f>
        <v>15286.206896551725</v>
      </c>
      <c r="E3">
        <f t="shared" ref="E3" ca="1" si="0">LOOKUP(2,1/(K3:AO3&lt;&gt;""),K3:AO3)</f>
        <v>10313</v>
      </c>
      <c r="F3" s="10">
        <f ca="1">E3-D3</f>
        <v>-4973.2068965517246</v>
      </c>
      <c r="G3" s="10">
        <f ca="1">AP3</f>
        <v>170925</v>
      </c>
      <c r="H3" s="12">
        <f ca="1">D3*(DAY(TODAY())-1)</f>
        <v>259865.5172413793</v>
      </c>
      <c r="I3" s="10">
        <f t="shared" ref="I3:I11" ca="1" si="1">G3-H3</f>
        <v>-88940.517241379304</v>
      </c>
      <c r="J3" s="3">
        <f ca="1">(C3-G3)/(EOMONTH(TODAY(),0)-TODAY()+1)</f>
        <v>19455.357142857141</v>
      </c>
      <c r="K3">
        <f ca="1">RANDBETWEEN(10000,15000)</f>
        <v>11538</v>
      </c>
      <c r="L3">
        <f t="shared" ref="L3:X3" ca="1" si="2">RANDBETWEEN(10000,15000)</f>
        <v>14823</v>
      </c>
      <c r="M3">
        <f t="shared" ca="1" si="2"/>
        <v>11459</v>
      </c>
      <c r="N3">
        <f t="shared" ca="1" si="2"/>
        <v>13391</v>
      </c>
      <c r="O3">
        <f t="shared" ca="1" si="2"/>
        <v>11377</v>
      </c>
      <c r="P3">
        <f t="shared" ca="1" si="2"/>
        <v>12602</v>
      </c>
      <c r="Q3">
        <f t="shared" ca="1" si="2"/>
        <v>12506</v>
      </c>
      <c r="R3">
        <f t="shared" ca="1" si="2"/>
        <v>10520</v>
      </c>
      <c r="S3">
        <f t="shared" ca="1" si="2"/>
        <v>11814</v>
      </c>
      <c r="T3">
        <f t="shared" ca="1" si="2"/>
        <v>11828</v>
      </c>
      <c r="U3">
        <f t="shared" ca="1" si="2"/>
        <v>14657</v>
      </c>
      <c r="V3">
        <f t="shared" ca="1" si="2"/>
        <v>11676</v>
      </c>
      <c r="W3">
        <f t="shared" ca="1" si="2"/>
        <v>12421</v>
      </c>
      <c r="X3">
        <f t="shared" ca="1" si="2"/>
        <v>10313</v>
      </c>
      <c r="AP3" s="1">
        <f ca="1">SUM(K3:AO3)</f>
        <v>170925</v>
      </c>
    </row>
    <row r="4" spans="2:42" x14ac:dyDescent="0.25">
      <c r="B4" s="1" t="s">
        <v>42</v>
      </c>
      <c r="C4" s="7">
        <f>C3/C5</f>
        <v>328.37037037037038</v>
      </c>
      <c r="D4" s="15">
        <f t="shared" ref="D4:D9" si="3">C4/29</f>
        <v>11.323116219667945</v>
      </c>
      <c r="E4">
        <f t="shared" ref="E4:E28" ca="1" si="4">LOOKUP(2,1/(K4:AO4&lt;&gt;""),K4:AO4)</f>
        <v>11</v>
      </c>
      <c r="F4" s="10">
        <f t="shared" ref="F4:F20" ca="1" si="5">E4-D4</f>
        <v>-0.3231162196679449</v>
      </c>
      <c r="G4" s="10">
        <f t="shared" ref="G4:G28" ca="1" si="6">AP4</f>
        <v>134</v>
      </c>
      <c r="H4" s="12">
        <f ca="1">D4*(DAY(TODAY())-1)</f>
        <v>192.49297573435507</v>
      </c>
      <c r="I4" s="10">
        <f t="shared" ca="1" si="1"/>
        <v>-58.49297573435507</v>
      </c>
      <c r="J4" s="3">
        <f t="shared" ref="J4:J9" ca="1" si="7">(C4-G4)/(EOMONTH(TODAY(),0)-TODAY()+1)</f>
        <v>13.883597883597885</v>
      </c>
      <c r="K4">
        <f ca="1">RANDBETWEEN(8,12)</f>
        <v>10</v>
      </c>
      <c r="L4">
        <f t="shared" ref="L4:X4" ca="1" si="8">RANDBETWEEN(8,12)</f>
        <v>9</v>
      </c>
      <c r="M4">
        <f t="shared" ca="1" si="8"/>
        <v>8</v>
      </c>
      <c r="N4">
        <f t="shared" ca="1" si="8"/>
        <v>11</v>
      </c>
      <c r="O4">
        <f t="shared" ca="1" si="8"/>
        <v>8</v>
      </c>
      <c r="P4">
        <f t="shared" ca="1" si="8"/>
        <v>11</v>
      </c>
      <c r="Q4">
        <f t="shared" ca="1" si="8"/>
        <v>11</v>
      </c>
      <c r="R4">
        <f t="shared" ca="1" si="8"/>
        <v>8</v>
      </c>
      <c r="S4">
        <f t="shared" ca="1" si="8"/>
        <v>11</v>
      </c>
      <c r="T4">
        <f t="shared" ca="1" si="8"/>
        <v>8</v>
      </c>
      <c r="U4">
        <f t="shared" ca="1" si="8"/>
        <v>11</v>
      </c>
      <c r="V4">
        <f t="shared" ca="1" si="8"/>
        <v>8</v>
      </c>
      <c r="W4">
        <f t="shared" ca="1" si="8"/>
        <v>9</v>
      </c>
      <c r="X4">
        <f t="shared" ca="1" si="8"/>
        <v>11</v>
      </c>
      <c r="AP4" s="1">
        <f t="shared" ref="AP4:AP28" ca="1" si="9">SUM(K4:AO4)</f>
        <v>134</v>
      </c>
    </row>
    <row r="5" spans="2:42" x14ac:dyDescent="0.25">
      <c r="B5" s="1" t="s">
        <v>43</v>
      </c>
      <c r="C5" s="9">
        <v>1350</v>
      </c>
      <c r="D5" s="15">
        <f t="shared" si="3"/>
        <v>46.551724137931032</v>
      </c>
      <c r="E5" s="5">
        <f t="shared" ca="1" si="4"/>
        <v>937.5454545454545</v>
      </c>
      <c r="F5" s="10">
        <f t="shared" ca="1" si="5"/>
        <v>890.99373040752346</v>
      </c>
      <c r="G5" s="10">
        <f t="shared" ca="1" si="6"/>
        <v>18132.320202020204</v>
      </c>
      <c r="H5" s="7">
        <f>C5</f>
        <v>1350</v>
      </c>
      <c r="I5" s="10">
        <f t="shared" ca="1" si="1"/>
        <v>16782.320202020204</v>
      </c>
      <c r="J5" s="3">
        <f t="shared" ca="1" si="7"/>
        <v>-1198.7371572871575</v>
      </c>
      <c r="K5" s="7">
        <f t="shared" ref="K5:X5" ca="1" si="10">K3/K4</f>
        <v>1153.8</v>
      </c>
      <c r="L5" s="7">
        <f t="shared" ca="1" si="10"/>
        <v>1647</v>
      </c>
      <c r="M5" s="7">
        <f t="shared" ca="1" si="10"/>
        <v>1432.375</v>
      </c>
      <c r="N5" s="7">
        <f t="shared" ca="1" si="10"/>
        <v>1217.3636363636363</v>
      </c>
      <c r="O5" s="7">
        <f t="shared" ca="1" si="10"/>
        <v>1422.125</v>
      </c>
      <c r="P5" s="7">
        <f t="shared" ca="1" si="10"/>
        <v>1145.6363636363637</v>
      </c>
      <c r="Q5" s="7">
        <f t="shared" ca="1" si="10"/>
        <v>1136.909090909091</v>
      </c>
      <c r="R5" s="7">
        <f t="shared" ca="1" si="10"/>
        <v>1315</v>
      </c>
      <c r="S5" s="7">
        <f t="shared" ca="1" si="10"/>
        <v>1074</v>
      </c>
      <c r="T5" s="7">
        <f t="shared" ca="1" si="10"/>
        <v>1478.5</v>
      </c>
      <c r="U5" s="7">
        <f t="shared" ca="1" si="10"/>
        <v>1332.4545454545455</v>
      </c>
      <c r="V5" s="7">
        <f t="shared" ca="1" si="10"/>
        <v>1459.5</v>
      </c>
      <c r="W5" s="7">
        <f t="shared" ca="1" si="10"/>
        <v>1380.1111111111111</v>
      </c>
      <c r="X5" s="7">
        <f t="shared" ca="1" si="10"/>
        <v>937.5454545454545</v>
      </c>
      <c r="Y5" s="7"/>
      <c r="AP5" s="1">
        <f t="shared" ca="1" si="9"/>
        <v>18132.320202020204</v>
      </c>
    </row>
    <row r="6" spans="2:42" x14ac:dyDescent="0.25">
      <c r="B6" s="1" t="s">
        <v>52</v>
      </c>
      <c r="C6" s="9">
        <v>30000</v>
      </c>
      <c r="D6" s="15">
        <f t="shared" si="3"/>
        <v>1034.4827586206898</v>
      </c>
      <c r="E6">
        <f t="shared" si="4"/>
        <v>800</v>
      </c>
      <c r="F6" s="10">
        <f t="shared" si="5"/>
        <v>-234.48275862068976</v>
      </c>
      <c r="G6" s="10">
        <f t="shared" si="6"/>
        <v>11200</v>
      </c>
      <c r="H6" s="12">
        <f ca="1">D6*(DAY(TODAY())-1)</f>
        <v>17586.206896551725</v>
      </c>
      <c r="I6" s="10">
        <f t="shared" ca="1" si="1"/>
        <v>-6386.2068965517246</v>
      </c>
      <c r="J6" s="3">
        <f t="shared" ca="1" si="7"/>
        <v>1342.8571428571429</v>
      </c>
      <c r="K6">
        <v>800</v>
      </c>
      <c r="L6">
        <v>800</v>
      </c>
      <c r="M6">
        <v>800</v>
      </c>
      <c r="N6">
        <v>800</v>
      </c>
      <c r="O6">
        <v>800</v>
      </c>
      <c r="P6">
        <v>800</v>
      </c>
      <c r="Q6">
        <v>800</v>
      </c>
      <c r="R6">
        <v>800</v>
      </c>
      <c r="S6">
        <v>800</v>
      </c>
      <c r="T6">
        <v>800</v>
      </c>
      <c r="U6">
        <v>800</v>
      </c>
      <c r="V6">
        <v>800</v>
      </c>
      <c r="W6">
        <v>800</v>
      </c>
      <c r="X6">
        <v>800</v>
      </c>
      <c r="AP6" s="1">
        <f t="shared" si="9"/>
        <v>11200</v>
      </c>
    </row>
    <row r="7" spans="2:42" x14ac:dyDescent="0.25">
      <c r="B7" s="1" t="s">
        <v>53</v>
      </c>
      <c r="C7" s="9">
        <v>25000</v>
      </c>
      <c r="D7" s="15">
        <f t="shared" si="3"/>
        <v>862.06896551724139</v>
      </c>
      <c r="E7">
        <f t="shared" si="4"/>
        <v>800</v>
      </c>
      <c r="F7" s="10">
        <f t="shared" si="5"/>
        <v>-62.068965517241395</v>
      </c>
      <c r="G7" s="10">
        <f t="shared" si="6"/>
        <v>11200</v>
      </c>
      <c r="H7" s="12">
        <f ca="1">D7*(DAY(TODAY())-1)</f>
        <v>14655.172413793103</v>
      </c>
      <c r="I7" s="10">
        <f t="shared" ca="1" si="1"/>
        <v>-3455.1724137931033</v>
      </c>
      <c r="J7" s="3">
        <f t="shared" ca="1" si="7"/>
        <v>985.71428571428567</v>
      </c>
      <c r="K7">
        <v>800</v>
      </c>
      <c r="L7">
        <v>800</v>
      </c>
      <c r="M7">
        <v>800</v>
      </c>
      <c r="N7">
        <v>800</v>
      </c>
      <c r="O7">
        <v>800</v>
      </c>
      <c r="P7">
        <v>800</v>
      </c>
      <c r="Q7">
        <v>800</v>
      </c>
      <c r="R7">
        <v>800</v>
      </c>
      <c r="S7">
        <v>800</v>
      </c>
      <c r="T7">
        <v>800</v>
      </c>
      <c r="U7">
        <v>800</v>
      </c>
      <c r="V7">
        <v>800</v>
      </c>
      <c r="W7">
        <v>800</v>
      </c>
      <c r="X7">
        <v>800</v>
      </c>
      <c r="AP7" s="1">
        <f t="shared" si="9"/>
        <v>11200</v>
      </c>
    </row>
    <row r="8" spans="2:42" x14ac:dyDescent="0.25">
      <c r="B8" s="1" t="s">
        <v>54</v>
      </c>
      <c r="C8" s="9">
        <v>11500</v>
      </c>
      <c r="D8" s="15">
        <f t="shared" si="3"/>
        <v>396.55172413793105</v>
      </c>
      <c r="E8">
        <f t="shared" si="4"/>
        <v>800</v>
      </c>
      <c r="F8" s="10">
        <f t="shared" si="5"/>
        <v>403.44827586206895</v>
      </c>
      <c r="G8" s="10">
        <f t="shared" si="6"/>
        <v>11200</v>
      </c>
      <c r="H8" s="10">
        <f>C8</f>
        <v>11500</v>
      </c>
      <c r="I8" s="10">
        <f t="shared" si="1"/>
        <v>-300</v>
      </c>
      <c r="J8" s="3">
        <f t="shared" ca="1" si="7"/>
        <v>21.428571428571427</v>
      </c>
      <c r="K8">
        <v>800</v>
      </c>
      <c r="L8">
        <v>800</v>
      </c>
      <c r="M8">
        <v>800</v>
      </c>
      <c r="N8">
        <v>800</v>
      </c>
      <c r="O8">
        <v>800</v>
      </c>
      <c r="P8">
        <v>800</v>
      </c>
      <c r="Q8">
        <v>800</v>
      </c>
      <c r="R8">
        <v>800</v>
      </c>
      <c r="S8">
        <v>800</v>
      </c>
      <c r="T8">
        <v>800</v>
      </c>
      <c r="U8">
        <v>800</v>
      </c>
      <c r="V8">
        <v>800</v>
      </c>
      <c r="W8">
        <v>800</v>
      </c>
      <c r="X8">
        <v>800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">
        <f t="shared" si="9"/>
        <v>11200</v>
      </c>
    </row>
    <row r="9" spans="2:42" x14ac:dyDescent="0.25">
      <c r="B9" s="1" t="s">
        <v>55</v>
      </c>
      <c r="C9" s="9">
        <v>25000</v>
      </c>
      <c r="D9" s="15">
        <f t="shared" si="3"/>
        <v>862.06896551724139</v>
      </c>
      <c r="E9">
        <f t="shared" si="4"/>
        <v>800</v>
      </c>
      <c r="F9" s="10">
        <f t="shared" si="5"/>
        <v>-62.068965517241395</v>
      </c>
      <c r="G9" s="10">
        <f t="shared" si="6"/>
        <v>11200</v>
      </c>
      <c r="H9" s="14">
        <f t="shared" ref="H9:H11" si="11">C9</f>
        <v>25000</v>
      </c>
      <c r="I9" s="10">
        <f t="shared" si="1"/>
        <v>-13800</v>
      </c>
      <c r="J9" s="3">
        <f t="shared" ca="1" si="7"/>
        <v>985.71428571428567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">
        <f t="shared" si="9"/>
        <v>11200</v>
      </c>
    </row>
    <row r="10" spans="2:42" x14ac:dyDescent="0.25">
      <c r="B10" s="20" t="s">
        <v>40</v>
      </c>
      <c r="C10" s="9">
        <v>38.5</v>
      </c>
      <c r="D10" s="9">
        <f>C10</f>
        <v>38.5</v>
      </c>
      <c r="E10">
        <f t="shared" si="4"/>
        <v>38</v>
      </c>
      <c r="F10" s="10">
        <f t="shared" si="5"/>
        <v>-0.5</v>
      </c>
      <c r="G10" s="10">
        <f t="shared" si="6"/>
        <v>532</v>
      </c>
      <c r="H10" s="14">
        <f t="shared" si="11"/>
        <v>38.5</v>
      </c>
      <c r="I10" s="10">
        <f t="shared" si="1"/>
        <v>493.5</v>
      </c>
      <c r="J10" s="3"/>
      <c r="K10" s="4">
        <v>38</v>
      </c>
      <c r="L10" s="4">
        <v>38</v>
      </c>
      <c r="M10" s="4">
        <v>38</v>
      </c>
      <c r="N10" s="4">
        <v>38</v>
      </c>
      <c r="O10" s="4">
        <v>38</v>
      </c>
      <c r="P10" s="4">
        <v>38</v>
      </c>
      <c r="Q10" s="4">
        <v>38</v>
      </c>
      <c r="R10" s="4">
        <v>38</v>
      </c>
      <c r="S10" s="4">
        <v>38</v>
      </c>
      <c r="T10" s="4">
        <v>38</v>
      </c>
      <c r="U10" s="4">
        <v>38</v>
      </c>
      <c r="V10" s="4">
        <v>38</v>
      </c>
      <c r="W10" s="4">
        <v>38</v>
      </c>
      <c r="X10" s="4">
        <v>38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">
        <f t="shared" si="9"/>
        <v>532</v>
      </c>
    </row>
    <row r="11" spans="2:42" x14ac:dyDescent="0.25">
      <c r="B11" s="20" t="s">
        <v>44</v>
      </c>
      <c r="C11" s="9">
        <v>58</v>
      </c>
      <c r="D11" s="9">
        <f t="shared" ref="D11:D28" si="12">C11</f>
        <v>58</v>
      </c>
      <c r="E11">
        <f t="shared" si="4"/>
        <v>57</v>
      </c>
      <c r="F11" s="10">
        <f t="shared" si="5"/>
        <v>-1</v>
      </c>
      <c r="G11" s="10">
        <f t="shared" si="6"/>
        <v>798</v>
      </c>
      <c r="H11" s="14">
        <f t="shared" si="11"/>
        <v>58</v>
      </c>
      <c r="I11" s="10">
        <f t="shared" si="1"/>
        <v>740</v>
      </c>
      <c r="J11" s="3"/>
      <c r="K11" s="4">
        <v>57</v>
      </c>
      <c r="L11" s="4">
        <v>57</v>
      </c>
      <c r="M11" s="4">
        <v>57</v>
      </c>
      <c r="N11" s="4">
        <v>57</v>
      </c>
      <c r="O11" s="4">
        <v>57</v>
      </c>
      <c r="P11" s="4">
        <v>57</v>
      </c>
      <c r="Q11" s="4">
        <v>57</v>
      </c>
      <c r="R11" s="4">
        <v>57</v>
      </c>
      <c r="S11" s="4">
        <v>57</v>
      </c>
      <c r="T11" s="4">
        <v>57</v>
      </c>
      <c r="U11" s="4">
        <v>57</v>
      </c>
      <c r="V11" s="4">
        <v>57</v>
      </c>
      <c r="W11" s="4">
        <v>57</v>
      </c>
      <c r="X11" s="4">
        <v>57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">
        <f t="shared" si="9"/>
        <v>798</v>
      </c>
    </row>
    <row r="12" spans="2:42" x14ac:dyDescent="0.25">
      <c r="B12" s="20" t="s">
        <v>45</v>
      </c>
      <c r="C12" s="9">
        <v>0</v>
      </c>
      <c r="D12" s="9">
        <f t="shared" si="12"/>
        <v>0</v>
      </c>
      <c r="E12">
        <f t="shared" si="4"/>
        <v>33</v>
      </c>
      <c r="F12" s="10">
        <f t="shared" si="5"/>
        <v>33</v>
      </c>
      <c r="G12" s="10">
        <f t="shared" si="6"/>
        <v>462</v>
      </c>
      <c r="H12" s="14">
        <f t="shared" ref="H12:H28" si="13">C12</f>
        <v>0</v>
      </c>
      <c r="I12" s="10">
        <f t="shared" ref="I12:I20" si="14">G12-H12</f>
        <v>462</v>
      </c>
      <c r="J12" s="3"/>
      <c r="K12">
        <v>33</v>
      </c>
      <c r="L12">
        <v>33</v>
      </c>
      <c r="M12">
        <v>33</v>
      </c>
      <c r="N12">
        <v>33</v>
      </c>
      <c r="O12">
        <v>33</v>
      </c>
      <c r="P12">
        <v>33</v>
      </c>
      <c r="Q12">
        <v>33</v>
      </c>
      <c r="R12">
        <v>33</v>
      </c>
      <c r="S12">
        <v>33</v>
      </c>
      <c r="T12">
        <v>33</v>
      </c>
      <c r="U12">
        <v>33</v>
      </c>
      <c r="V12">
        <v>33</v>
      </c>
      <c r="W12">
        <v>33</v>
      </c>
      <c r="X12">
        <v>33</v>
      </c>
      <c r="AP12" s="1">
        <f t="shared" si="9"/>
        <v>462</v>
      </c>
    </row>
    <row r="13" spans="2:42" x14ac:dyDescent="0.25">
      <c r="B13" s="20" t="s">
        <v>46</v>
      </c>
      <c r="C13" s="18">
        <v>37</v>
      </c>
      <c r="D13" s="9">
        <f t="shared" si="12"/>
        <v>37</v>
      </c>
      <c r="E13">
        <f t="shared" si="4"/>
        <v>38</v>
      </c>
      <c r="F13" s="10">
        <f t="shared" si="5"/>
        <v>1</v>
      </c>
      <c r="G13" s="10">
        <f t="shared" si="6"/>
        <v>532</v>
      </c>
      <c r="H13" s="14">
        <f t="shared" si="13"/>
        <v>37</v>
      </c>
      <c r="I13" s="10">
        <f t="shared" si="14"/>
        <v>495</v>
      </c>
      <c r="J13" s="3"/>
      <c r="K13">
        <v>38</v>
      </c>
      <c r="L13">
        <v>38</v>
      </c>
      <c r="M13">
        <v>38</v>
      </c>
      <c r="N13">
        <v>38</v>
      </c>
      <c r="O13">
        <v>38</v>
      </c>
      <c r="P13">
        <v>38</v>
      </c>
      <c r="Q13">
        <v>38</v>
      </c>
      <c r="R13">
        <v>38</v>
      </c>
      <c r="S13">
        <v>38</v>
      </c>
      <c r="T13">
        <v>38</v>
      </c>
      <c r="U13">
        <v>38</v>
      </c>
      <c r="V13">
        <v>38</v>
      </c>
      <c r="W13">
        <v>38</v>
      </c>
      <c r="X13">
        <v>38</v>
      </c>
      <c r="AP13" s="1">
        <f t="shared" si="9"/>
        <v>532</v>
      </c>
    </row>
    <row r="14" spans="2:42" x14ac:dyDescent="0.25">
      <c r="B14" s="20" t="s">
        <v>47</v>
      </c>
      <c r="C14" s="7">
        <v>37.5</v>
      </c>
      <c r="D14" s="9">
        <f t="shared" si="12"/>
        <v>37.5</v>
      </c>
      <c r="E14">
        <f t="shared" si="4"/>
        <v>39</v>
      </c>
      <c r="F14" s="10">
        <f t="shared" si="5"/>
        <v>1.5</v>
      </c>
      <c r="G14" s="10">
        <f t="shared" si="6"/>
        <v>546</v>
      </c>
      <c r="H14" s="14">
        <f t="shared" si="13"/>
        <v>37.5</v>
      </c>
      <c r="I14" s="10">
        <f t="shared" si="14"/>
        <v>508.5</v>
      </c>
      <c r="J14" s="3"/>
      <c r="K14">
        <v>39</v>
      </c>
      <c r="L14">
        <v>39</v>
      </c>
      <c r="M14">
        <v>39</v>
      </c>
      <c r="N14">
        <v>39</v>
      </c>
      <c r="O14">
        <v>39</v>
      </c>
      <c r="P14">
        <v>39</v>
      </c>
      <c r="Q14">
        <v>39</v>
      </c>
      <c r="R14">
        <v>39</v>
      </c>
      <c r="S14">
        <v>39</v>
      </c>
      <c r="T14">
        <v>39</v>
      </c>
      <c r="U14">
        <v>39</v>
      </c>
      <c r="V14">
        <v>39</v>
      </c>
      <c r="W14">
        <v>39</v>
      </c>
      <c r="X14">
        <v>39</v>
      </c>
      <c r="AP14" s="1">
        <f t="shared" si="9"/>
        <v>546</v>
      </c>
    </row>
    <row r="15" spans="2:42" x14ac:dyDescent="0.25">
      <c r="B15" s="20" t="s">
        <v>48</v>
      </c>
      <c r="C15" s="9">
        <v>1</v>
      </c>
      <c r="D15" s="9">
        <f t="shared" si="12"/>
        <v>1</v>
      </c>
      <c r="E15">
        <f t="shared" ca="1" si="4"/>
        <v>4</v>
      </c>
      <c r="F15" s="10">
        <f t="shared" ca="1" si="5"/>
        <v>3</v>
      </c>
      <c r="G15" s="10">
        <f t="shared" ca="1" si="6"/>
        <v>42</v>
      </c>
      <c r="H15" s="14">
        <f t="shared" si="13"/>
        <v>1</v>
      </c>
      <c r="I15" s="10">
        <f t="shared" ca="1" si="14"/>
        <v>41</v>
      </c>
      <c r="J15" s="3"/>
      <c r="K15">
        <f t="shared" ref="K15:X20" ca="1" si="15">RANDBETWEEN(1,5)</f>
        <v>3</v>
      </c>
      <c r="L15">
        <f t="shared" ca="1" si="15"/>
        <v>1</v>
      </c>
      <c r="M15">
        <f t="shared" ca="1" si="15"/>
        <v>3</v>
      </c>
      <c r="N15">
        <f t="shared" ca="1" si="15"/>
        <v>3</v>
      </c>
      <c r="O15">
        <f t="shared" ca="1" si="15"/>
        <v>5</v>
      </c>
      <c r="P15">
        <f t="shared" ca="1" si="15"/>
        <v>2</v>
      </c>
      <c r="Q15">
        <f t="shared" ca="1" si="15"/>
        <v>4</v>
      </c>
      <c r="R15">
        <f t="shared" ca="1" si="15"/>
        <v>3</v>
      </c>
      <c r="S15">
        <f t="shared" ca="1" si="15"/>
        <v>1</v>
      </c>
      <c r="T15">
        <f t="shared" ca="1" si="15"/>
        <v>3</v>
      </c>
      <c r="U15">
        <f t="shared" ca="1" si="15"/>
        <v>1</v>
      </c>
      <c r="V15">
        <f t="shared" ca="1" si="15"/>
        <v>5</v>
      </c>
      <c r="W15">
        <f t="shared" ca="1" si="15"/>
        <v>4</v>
      </c>
      <c r="X15">
        <f t="shared" ca="1" si="15"/>
        <v>4</v>
      </c>
      <c r="AP15" s="1">
        <f t="shared" ca="1" si="9"/>
        <v>42</v>
      </c>
    </row>
    <row r="16" spans="2:42" x14ac:dyDescent="0.25">
      <c r="B16" s="20" t="s">
        <v>51</v>
      </c>
      <c r="C16" s="9">
        <v>15</v>
      </c>
      <c r="D16" s="9">
        <v>15</v>
      </c>
      <c r="E16">
        <f t="shared" ca="1" si="4"/>
        <v>1</v>
      </c>
      <c r="F16" s="10">
        <f t="shared" ca="1" si="5"/>
        <v>-14</v>
      </c>
      <c r="G16" s="10">
        <f t="shared" ca="1" si="6"/>
        <v>38</v>
      </c>
      <c r="H16" s="14">
        <f t="shared" si="13"/>
        <v>15</v>
      </c>
      <c r="I16" s="10">
        <f t="shared" ca="1" si="14"/>
        <v>23</v>
      </c>
      <c r="J16" s="3"/>
      <c r="K16">
        <f t="shared" ca="1" si="15"/>
        <v>3</v>
      </c>
      <c r="L16">
        <f t="shared" ca="1" si="15"/>
        <v>3</v>
      </c>
      <c r="M16">
        <f t="shared" ca="1" si="15"/>
        <v>3</v>
      </c>
      <c r="N16">
        <f t="shared" ca="1" si="15"/>
        <v>3</v>
      </c>
      <c r="O16">
        <f t="shared" ca="1" si="15"/>
        <v>2</v>
      </c>
      <c r="P16">
        <f t="shared" ca="1" si="15"/>
        <v>2</v>
      </c>
      <c r="Q16">
        <f t="shared" ca="1" si="15"/>
        <v>5</v>
      </c>
      <c r="R16">
        <f t="shared" ca="1" si="15"/>
        <v>4</v>
      </c>
      <c r="S16">
        <f t="shared" ca="1" si="15"/>
        <v>1</v>
      </c>
      <c r="T16">
        <f t="shared" ca="1" si="15"/>
        <v>5</v>
      </c>
      <c r="U16">
        <f t="shared" ca="1" si="15"/>
        <v>3</v>
      </c>
      <c r="V16">
        <f t="shared" ca="1" si="15"/>
        <v>1</v>
      </c>
      <c r="W16">
        <f t="shared" ca="1" si="15"/>
        <v>2</v>
      </c>
      <c r="X16">
        <f t="shared" ca="1" si="15"/>
        <v>1</v>
      </c>
      <c r="AP16" s="1">
        <f t="shared" ca="1" si="9"/>
        <v>38</v>
      </c>
    </row>
    <row r="17" spans="2:42" x14ac:dyDescent="0.25">
      <c r="B17" s="20" t="s">
        <v>50</v>
      </c>
      <c r="C17" s="9">
        <v>50</v>
      </c>
      <c r="D17" s="9">
        <f t="shared" si="12"/>
        <v>50</v>
      </c>
      <c r="E17">
        <f t="shared" ca="1" si="4"/>
        <v>1</v>
      </c>
      <c r="F17" s="10">
        <f t="shared" ca="1" si="5"/>
        <v>-49</v>
      </c>
      <c r="G17" s="10">
        <f t="shared" ca="1" si="6"/>
        <v>25</v>
      </c>
      <c r="H17" s="14">
        <f t="shared" si="13"/>
        <v>50</v>
      </c>
      <c r="I17" s="10">
        <f t="shared" ca="1" si="14"/>
        <v>-25</v>
      </c>
      <c r="J17" s="3"/>
      <c r="K17">
        <f t="shared" ca="1" si="15"/>
        <v>1</v>
      </c>
      <c r="L17">
        <f t="shared" ca="1" si="15"/>
        <v>3</v>
      </c>
      <c r="M17">
        <f t="shared" ca="1" si="15"/>
        <v>4</v>
      </c>
      <c r="N17">
        <f t="shared" ca="1" si="15"/>
        <v>1</v>
      </c>
      <c r="O17">
        <f t="shared" ca="1" si="15"/>
        <v>1</v>
      </c>
      <c r="P17">
        <f t="shared" ca="1" si="15"/>
        <v>2</v>
      </c>
      <c r="Q17">
        <f t="shared" ca="1" si="15"/>
        <v>1</v>
      </c>
      <c r="R17">
        <f t="shared" ca="1" si="15"/>
        <v>1</v>
      </c>
      <c r="S17">
        <f t="shared" ca="1" si="15"/>
        <v>1</v>
      </c>
      <c r="T17">
        <f t="shared" ca="1" si="15"/>
        <v>1</v>
      </c>
      <c r="U17">
        <f t="shared" ca="1" si="15"/>
        <v>3</v>
      </c>
      <c r="V17">
        <f t="shared" ca="1" si="15"/>
        <v>4</v>
      </c>
      <c r="W17">
        <f t="shared" ca="1" si="15"/>
        <v>1</v>
      </c>
      <c r="X17">
        <f t="shared" ca="1" si="15"/>
        <v>1</v>
      </c>
      <c r="AP17" s="1">
        <f t="shared" ca="1" si="9"/>
        <v>25</v>
      </c>
    </row>
    <row r="18" spans="2:42" x14ac:dyDescent="0.25">
      <c r="B18" s="20" t="s">
        <v>49</v>
      </c>
      <c r="C18" s="9">
        <v>25</v>
      </c>
      <c r="D18" s="9">
        <f t="shared" si="12"/>
        <v>25</v>
      </c>
      <c r="E18">
        <f t="shared" ca="1" si="4"/>
        <v>4</v>
      </c>
      <c r="F18" s="10">
        <f t="shared" ca="1" si="5"/>
        <v>-21</v>
      </c>
      <c r="G18" s="10">
        <f t="shared" ca="1" si="6"/>
        <v>52</v>
      </c>
      <c r="H18" s="14">
        <f t="shared" si="13"/>
        <v>25</v>
      </c>
      <c r="I18" s="10">
        <f t="shared" ca="1" si="14"/>
        <v>27</v>
      </c>
      <c r="J18" s="3"/>
      <c r="K18">
        <f t="shared" ca="1" si="15"/>
        <v>4</v>
      </c>
      <c r="L18">
        <f t="shared" ca="1" si="15"/>
        <v>2</v>
      </c>
      <c r="M18">
        <f t="shared" ca="1" si="15"/>
        <v>4</v>
      </c>
      <c r="N18">
        <f t="shared" ca="1" si="15"/>
        <v>5</v>
      </c>
      <c r="O18">
        <f t="shared" ca="1" si="15"/>
        <v>4</v>
      </c>
      <c r="P18">
        <f t="shared" ca="1" si="15"/>
        <v>4</v>
      </c>
      <c r="Q18">
        <f t="shared" ca="1" si="15"/>
        <v>3</v>
      </c>
      <c r="R18">
        <f t="shared" ca="1" si="15"/>
        <v>1</v>
      </c>
      <c r="S18">
        <f t="shared" ca="1" si="15"/>
        <v>3</v>
      </c>
      <c r="T18">
        <f t="shared" ca="1" si="15"/>
        <v>4</v>
      </c>
      <c r="U18">
        <f t="shared" ca="1" si="15"/>
        <v>4</v>
      </c>
      <c r="V18">
        <f t="shared" ca="1" si="15"/>
        <v>5</v>
      </c>
      <c r="W18">
        <f t="shared" ca="1" si="15"/>
        <v>5</v>
      </c>
      <c r="X18">
        <f t="shared" ca="1" si="15"/>
        <v>4</v>
      </c>
      <c r="AP18" s="1">
        <f t="shared" ca="1" si="9"/>
        <v>52</v>
      </c>
    </row>
    <row r="19" spans="2:42" x14ac:dyDescent="0.25">
      <c r="B19" s="22" t="s">
        <v>56</v>
      </c>
      <c r="C19" s="9">
        <v>57</v>
      </c>
      <c r="D19" s="9">
        <f t="shared" si="12"/>
        <v>57</v>
      </c>
      <c r="E19">
        <f t="shared" ca="1" si="4"/>
        <v>3</v>
      </c>
      <c r="F19" s="10">
        <f t="shared" ca="1" si="5"/>
        <v>-54</v>
      </c>
      <c r="G19" s="10">
        <f t="shared" ca="1" si="6"/>
        <v>40</v>
      </c>
      <c r="H19" s="14">
        <f t="shared" si="13"/>
        <v>57</v>
      </c>
      <c r="I19" s="10">
        <f t="shared" ca="1" si="14"/>
        <v>-17</v>
      </c>
      <c r="J19" s="3"/>
      <c r="K19">
        <f t="shared" ca="1" si="15"/>
        <v>2</v>
      </c>
      <c r="L19">
        <f t="shared" ca="1" si="15"/>
        <v>3</v>
      </c>
      <c r="M19">
        <f t="shared" ca="1" si="15"/>
        <v>2</v>
      </c>
      <c r="N19">
        <f t="shared" ca="1" si="15"/>
        <v>2</v>
      </c>
      <c r="O19">
        <f t="shared" ca="1" si="15"/>
        <v>2</v>
      </c>
      <c r="P19">
        <f t="shared" ca="1" si="15"/>
        <v>4</v>
      </c>
      <c r="Q19">
        <f t="shared" ca="1" si="15"/>
        <v>5</v>
      </c>
      <c r="R19">
        <f t="shared" ca="1" si="15"/>
        <v>3</v>
      </c>
      <c r="S19">
        <f t="shared" ca="1" si="15"/>
        <v>5</v>
      </c>
      <c r="T19">
        <f t="shared" ca="1" si="15"/>
        <v>2</v>
      </c>
      <c r="U19">
        <f t="shared" ca="1" si="15"/>
        <v>2</v>
      </c>
      <c r="V19">
        <f t="shared" ca="1" si="15"/>
        <v>4</v>
      </c>
      <c r="W19">
        <f t="shared" ca="1" si="15"/>
        <v>1</v>
      </c>
      <c r="X19">
        <f t="shared" ca="1" si="15"/>
        <v>3</v>
      </c>
      <c r="AP19" s="1">
        <f t="shared" ca="1" si="9"/>
        <v>40</v>
      </c>
    </row>
    <row r="20" spans="2:42" x14ac:dyDescent="0.25">
      <c r="B20" s="22" t="s">
        <v>57</v>
      </c>
      <c r="C20" s="9">
        <v>40</v>
      </c>
      <c r="D20" s="9">
        <f t="shared" si="12"/>
        <v>40</v>
      </c>
      <c r="E20">
        <f t="shared" ca="1" si="4"/>
        <v>5</v>
      </c>
      <c r="F20" s="10">
        <f t="shared" ca="1" si="5"/>
        <v>-35</v>
      </c>
      <c r="G20" s="10">
        <f t="shared" ca="1" si="6"/>
        <v>42</v>
      </c>
      <c r="H20" s="14">
        <f t="shared" si="13"/>
        <v>40</v>
      </c>
      <c r="I20" s="10">
        <f t="shared" ca="1" si="14"/>
        <v>2</v>
      </c>
      <c r="J20" s="3"/>
      <c r="K20">
        <f t="shared" ca="1" si="15"/>
        <v>1</v>
      </c>
      <c r="L20">
        <f t="shared" ca="1" si="15"/>
        <v>5</v>
      </c>
      <c r="M20">
        <f t="shared" ca="1" si="15"/>
        <v>3</v>
      </c>
      <c r="N20">
        <f t="shared" ca="1" si="15"/>
        <v>5</v>
      </c>
      <c r="O20">
        <f t="shared" ca="1" si="15"/>
        <v>2</v>
      </c>
      <c r="P20">
        <f t="shared" ca="1" si="15"/>
        <v>3</v>
      </c>
      <c r="Q20">
        <f t="shared" ca="1" si="15"/>
        <v>5</v>
      </c>
      <c r="R20">
        <f t="shared" ca="1" si="15"/>
        <v>1</v>
      </c>
      <c r="S20">
        <f t="shared" ca="1" si="15"/>
        <v>1</v>
      </c>
      <c r="T20">
        <f t="shared" ca="1" si="15"/>
        <v>2</v>
      </c>
      <c r="U20">
        <f t="shared" ca="1" si="15"/>
        <v>4</v>
      </c>
      <c r="V20">
        <f t="shared" ca="1" si="15"/>
        <v>4</v>
      </c>
      <c r="W20">
        <f t="shared" ca="1" si="15"/>
        <v>1</v>
      </c>
      <c r="X20">
        <f t="shared" ca="1" si="15"/>
        <v>5</v>
      </c>
      <c r="AP20" s="1">
        <f t="shared" ca="1" si="9"/>
        <v>42</v>
      </c>
    </row>
    <row r="21" spans="2:42" x14ac:dyDescent="0.25">
      <c r="B21" s="19" t="s">
        <v>102</v>
      </c>
      <c r="C21" s="9">
        <v>50</v>
      </c>
      <c r="D21" s="9">
        <f t="shared" si="12"/>
        <v>50</v>
      </c>
      <c r="E21">
        <f t="shared" si="4"/>
        <v>40</v>
      </c>
      <c r="F21" s="10">
        <f t="shared" ref="F21:F28" si="16">E21-D21</f>
        <v>-10</v>
      </c>
      <c r="G21" s="10">
        <f t="shared" si="6"/>
        <v>560</v>
      </c>
      <c r="H21" s="14">
        <f t="shared" si="13"/>
        <v>50</v>
      </c>
      <c r="I21" s="10">
        <f t="shared" ref="I21:I24" si="17">G21-H21</f>
        <v>510</v>
      </c>
      <c r="J21" s="3"/>
      <c r="K21" s="9">
        <v>40</v>
      </c>
      <c r="L21" s="9">
        <v>40</v>
      </c>
      <c r="M21" s="9">
        <v>40</v>
      </c>
      <c r="N21" s="9">
        <v>40</v>
      </c>
      <c r="O21" s="9">
        <v>40</v>
      </c>
      <c r="P21" s="9">
        <v>40</v>
      </c>
      <c r="Q21" s="9">
        <v>40</v>
      </c>
      <c r="R21" s="9">
        <v>40</v>
      </c>
      <c r="S21" s="9">
        <v>40</v>
      </c>
      <c r="T21" s="9">
        <v>40</v>
      </c>
      <c r="U21" s="9">
        <v>40</v>
      </c>
      <c r="V21" s="9">
        <v>40</v>
      </c>
      <c r="W21" s="9">
        <v>40</v>
      </c>
      <c r="X21" s="9">
        <v>40</v>
      </c>
      <c r="AP21" s="1">
        <f t="shared" si="9"/>
        <v>560</v>
      </c>
    </row>
    <row r="22" spans="2:42" x14ac:dyDescent="0.25">
      <c r="B22" s="19" t="s">
        <v>103</v>
      </c>
      <c r="C22" s="9">
        <v>25</v>
      </c>
      <c r="D22" s="9">
        <f t="shared" si="12"/>
        <v>25</v>
      </c>
      <c r="E22">
        <f t="shared" si="4"/>
        <v>24</v>
      </c>
      <c r="F22" s="10">
        <f t="shared" si="16"/>
        <v>-1</v>
      </c>
      <c r="G22" s="10">
        <f t="shared" si="6"/>
        <v>336</v>
      </c>
      <c r="H22" s="14">
        <f t="shared" si="13"/>
        <v>25</v>
      </c>
      <c r="I22" s="10">
        <f t="shared" si="17"/>
        <v>311</v>
      </c>
      <c r="J22" s="3"/>
      <c r="K22" s="9">
        <v>24</v>
      </c>
      <c r="L22" s="9">
        <v>24</v>
      </c>
      <c r="M22" s="9">
        <v>24</v>
      </c>
      <c r="N22" s="9">
        <v>24</v>
      </c>
      <c r="O22" s="9">
        <v>24</v>
      </c>
      <c r="P22" s="9">
        <v>24</v>
      </c>
      <c r="Q22" s="9">
        <v>24</v>
      </c>
      <c r="R22" s="9">
        <v>24</v>
      </c>
      <c r="S22" s="9">
        <v>24</v>
      </c>
      <c r="T22" s="9">
        <v>24</v>
      </c>
      <c r="U22" s="9">
        <v>24</v>
      </c>
      <c r="V22" s="9">
        <v>24</v>
      </c>
      <c r="W22" s="9">
        <v>24</v>
      </c>
      <c r="X22" s="9">
        <v>24</v>
      </c>
      <c r="AP22" s="1">
        <f t="shared" si="9"/>
        <v>336</v>
      </c>
    </row>
    <row r="23" spans="2:42" x14ac:dyDescent="0.25">
      <c r="B23" s="19" t="s">
        <v>104</v>
      </c>
      <c r="C23" s="9">
        <v>10</v>
      </c>
      <c r="D23" s="9">
        <f t="shared" si="12"/>
        <v>10</v>
      </c>
      <c r="E23">
        <f t="shared" si="4"/>
        <v>12</v>
      </c>
      <c r="F23" s="10">
        <f t="shared" si="16"/>
        <v>2</v>
      </c>
      <c r="G23" s="10">
        <f t="shared" si="6"/>
        <v>168</v>
      </c>
      <c r="H23" s="14">
        <f t="shared" si="13"/>
        <v>10</v>
      </c>
      <c r="I23" s="10">
        <f t="shared" si="17"/>
        <v>158</v>
      </c>
      <c r="J23" s="3"/>
      <c r="K23" s="9">
        <v>12</v>
      </c>
      <c r="L23" s="9">
        <v>12</v>
      </c>
      <c r="M23" s="9">
        <v>12</v>
      </c>
      <c r="N23" s="9">
        <v>12</v>
      </c>
      <c r="O23" s="9">
        <v>12</v>
      </c>
      <c r="P23" s="9">
        <v>12</v>
      </c>
      <c r="Q23" s="9">
        <v>12</v>
      </c>
      <c r="R23" s="9">
        <v>12</v>
      </c>
      <c r="S23" s="9">
        <v>12</v>
      </c>
      <c r="T23" s="9">
        <v>12</v>
      </c>
      <c r="U23" s="9">
        <v>12</v>
      </c>
      <c r="V23" s="9">
        <v>12</v>
      </c>
      <c r="W23" s="9">
        <v>12</v>
      </c>
      <c r="X23" s="9">
        <v>12</v>
      </c>
      <c r="AP23" s="1">
        <f t="shared" si="9"/>
        <v>168</v>
      </c>
    </row>
    <row r="24" spans="2:42" x14ac:dyDescent="0.25">
      <c r="B24" s="19" t="s">
        <v>105</v>
      </c>
      <c r="C24" s="9">
        <v>15</v>
      </c>
      <c r="D24" s="9">
        <f t="shared" si="12"/>
        <v>15</v>
      </c>
      <c r="E24">
        <f t="shared" si="4"/>
        <v>24</v>
      </c>
      <c r="F24" s="10">
        <f t="shared" si="16"/>
        <v>9</v>
      </c>
      <c r="G24" s="10">
        <f t="shared" si="6"/>
        <v>336</v>
      </c>
      <c r="H24" s="14">
        <f t="shared" si="13"/>
        <v>15</v>
      </c>
      <c r="I24" s="10">
        <f t="shared" si="17"/>
        <v>321</v>
      </c>
      <c r="J24" s="3"/>
      <c r="K24" s="9">
        <v>24</v>
      </c>
      <c r="L24" s="9">
        <v>24</v>
      </c>
      <c r="M24" s="9">
        <v>24</v>
      </c>
      <c r="N24" s="9">
        <v>24</v>
      </c>
      <c r="O24" s="9">
        <v>24</v>
      </c>
      <c r="P24" s="9">
        <v>24</v>
      </c>
      <c r="Q24" s="9">
        <v>24</v>
      </c>
      <c r="R24" s="9">
        <v>24</v>
      </c>
      <c r="S24" s="9">
        <v>24</v>
      </c>
      <c r="T24" s="9">
        <v>24</v>
      </c>
      <c r="U24" s="9">
        <v>24</v>
      </c>
      <c r="V24" s="9">
        <v>24</v>
      </c>
      <c r="W24" s="9">
        <v>24</v>
      </c>
      <c r="X24" s="9">
        <v>24</v>
      </c>
      <c r="AP24" s="1">
        <f t="shared" si="9"/>
        <v>336</v>
      </c>
    </row>
    <row r="25" spans="2:42" x14ac:dyDescent="0.25">
      <c r="B25" s="21" t="s">
        <v>98</v>
      </c>
      <c r="C25" s="9">
        <v>3300</v>
      </c>
      <c r="D25" s="9">
        <f t="shared" si="12"/>
        <v>3300</v>
      </c>
      <c r="E25">
        <f t="shared" si="4"/>
        <v>3250</v>
      </c>
      <c r="F25" s="10">
        <f t="shared" si="16"/>
        <v>-50</v>
      </c>
      <c r="G25" s="10">
        <f t="shared" si="6"/>
        <v>45500</v>
      </c>
      <c r="H25" s="14">
        <f t="shared" si="13"/>
        <v>3300</v>
      </c>
      <c r="I25" s="10">
        <f t="shared" ref="I25:I28" si="18">G25-H25</f>
        <v>42200</v>
      </c>
      <c r="J25" s="3"/>
      <c r="K25" s="9">
        <v>3250</v>
      </c>
      <c r="L25" s="9">
        <v>3250</v>
      </c>
      <c r="M25" s="9">
        <v>3250</v>
      </c>
      <c r="N25" s="9">
        <v>3250</v>
      </c>
      <c r="O25" s="9">
        <v>3250</v>
      </c>
      <c r="P25" s="9">
        <v>3250</v>
      </c>
      <c r="Q25" s="9">
        <v>3250</v>
      </c>
      <c r="R25" s="9">
        <v>3250</v>
      </c>
      <c r="S25" s="9">
        <v>3250</v>
      </c>
      <c r="T25" s="9">
        <v>3250</v>
      </c>
      <c r="U25" s="9">
        <v>3250</v>
      </c>
      <c r="V25" s="9">
        <v>3250</v>
      </c>
      <c r="W25" s="9">
        <v>3250</v>
      </c>
      <c r="X25" s="9">
        <v>3250</v>
      </c>
      <c r="AP25" s="1">
        <f t="shared" si="9"/>
        <v>45500</v>
      </c>
    </row>
    <row r="26" spans="2:42" x14ac:dyDescent="0.25">
      <c r="B26" s="21" t="s">
        <v>99</v>
      </c>
      <c r="C26" s="9">
        <v>10.5</v>
      </c>
      <c r="D26" s="9">
        <f t="shared" si="12"/>
        <v>10.5</v>
      </c>
      <c r="E26">
        <f t="shared" si="4"/>
        <v>10</v>
      </c>
      <c r="F26" s="10">
        <f t="shared" si="16"/>
        <v>-0.5</v>
      </c>
      <c r="G26" s="10">
        <f t="shared" si="6"/>
        <v>140</v>
      </c>
      <c r="H26" s="14">
        <f t="shared" si="13"/>
        <v>10.5</v>
      </c>
      <c r="I26" s="10">
        <f t="shared" si="18"/>
        <v>129.5</v>
      </c>
      <c r="J26" s="3"/>
      <c r="K26" s="9">
        <v>10</v>
      </c>
      <c r="L26" s="9">
        <v>10</v>
      </c>
      <c r="M26" s="9">
        <v>10</v>
      </c>
      <c r="N26" s="9">
        <v>10</v>
      </c>
      <c r="O26" s="9">
        <v>10</v>
      </c>
      <c r="P26" s="9">
        <v>10</v>
      </c>
      <c r="Q26" s="9">
        <v>10</v>
      </c>
      <c r="R26" s="9">
        <v>10</v>
      </c>
      <c r="S26" s="9">
        <v>10</v>
      </c>
      <c r="T26" s="9">
        <v>10</v>
      </c>
      <c r="U26" s="9">
        <v>10</v>
      </c>
      <c r="V26" s="9">
        <v>10</v>
      </c>
      <c r="W26" s="9">
        <v>10</v>
      </c>
      <c r="X26" s="9">
        <v>10</v>
      </c>
      <c r="AP26" s="1">
        <f t="shared" si="9"/>
        <v>140</v>
      </c>
    </row>
    <row r="27" spans="2:42" x14ac:dyDescent="0.25">
      <c r="B27" s="21" t="s">
        <v>100</v>
      </c>
      <c r="C27" s="9">
        <v>10</v>
      </c>
      <c r="D27" s="9">
        <f t="shared" si="12"/>
        <v>10</v>
      </c>
      <c r="E27">
        <f t="shared" si="4"/>
        <v>9.8000000000000007</v>
      </c>
      <c r="F27" s="10">
        <f t="shared" si="16"/>
        <v>-0.19999999999999929</v>
      </c>
      <c r="G27" s="10">
        <f t="shared" si="6"/>
        <v>137.19999999999999</v>
      </c>
      <c r="H27" s="14">
        <f t="shared" si="13"/>
        <v>10</v>
      </c>
      <c r="I27" s="10">
        <f t="shared" si="18"/>
        <v>127.19999999999999</v>
      </c>
      <c r="J27" s="3"/>
      <c r="K27" s="9">
        <v>9.8000000000000007</v>
      </c>
      <c r="L27" s="9">
        <v>9.8000000000000007</v>
      </c>
      <c r="M27" s="9">
        <v>9.8000000000000007</v>
      </c>
      <c r="N27" s="9">
        <v>9.8000000000000007</v>
      </c>
      <c r="O27" s="9">
        <v>9.8000000000000007</v>
      </c>
      <c r="P27" s="9">
        <v>9.8000000000000007</v>
      </c>
      <c r="Q27" s="9">
        <v>9.8000000000000007</v>
      </c>
      <c r="R27" s="9">
        <v>9.8000000000000007</v>
      </c>
      <c r="S27" s="9">
        <v>9.8000000000000007</v>
      </c>
      <c r="T27" s="9">
        <v>9.8000000000000007</v>
      </c>
      <c r="U27" s="9">
        <v>9.8000000000000007</v>
      </c>
      <c r="V27" s="9">
        <v>9.8000000000000007</v>
      </c>
      <c r="W27" s="9">
        <v>9.8000000000000007</v>
      </c>
      <c r="X27" s="9">
        <v>9.8000000000000007</v>
      </c>
      <c r="AP27" s="1">
        <f t="shared" si="9"/>
        <v>137.19999999999999</v>
      </c>
    </row>
    <row r="28" spans="2:42" x14ac:dyDescent="0.25">
      <c r="B28" s="21" t="s">
        <v>101</v>
      </c>
      <c r="C28" s="9">
        <v>6</v>
      </c>
      <c r="D28" s="9">
        <f t="shared" si="12"/>
        <v>6</v>
      </c>
      <c r="E28">
        <f t="shared" si="4"/>
        <v>6.2</v>
      </c>
      <c r="F28" s="10">
        <f t="shared" si="16"/>
        <v>0.20000000000000018</v>
      </c>
      <c r="G28" s="10">
        <f t="shared" si="6"/>
        <v>86.800000000000026</v>
      </c>
      <c r="H28" s="14">
        <f t="shared" si="13"/>
        <v>6</v>
      </c>
      <c r="I28" s="10">
        <f t="shared" si="18"/>
        <v>80.800000000000026</v>
      </c>
      <c r="J28" s="3"/>
      <c r="K28" s="9">
        <v>6.2</v>
      </c>
      <c r="L28" s="9">
        <v>6.2</v>
      </c>
      <c r="M28" s="9">
        <v>6.2</v>
      </c>
      <c r="N28" s="9">
        <v>6.2</v>
      </c>
      <c r="O28" s="9">
        <v>6.2</v>
      </c>
      <c r="P28" s="9">
        <v>6.2</v>
      </c>
      <c r="Q28" s="9">
        <v>6.2</v>
      </c>
      <c r="R28" s="9">
        <v>6.2</v>
      </c>
      <c r="S28" s="9">
        <v>6.2</v>
      </c>
      <c r="T28" s="9">
        <v>6.2</v>
      </c>
      <c r="U28" s="9">
        <v>6.2</v>
      </c>
      <c r="V28" s="9">
        <v>6.2</v>
      </c>
      <c r="W28" s="9">
        <v>6.2</v>
      </c>
      <c r="X28" s="9">
        <v>6.2</v>
      </c>
      <c r="AP28" s="1">
        <f t="shared" si="9"/>
        <v>86.800000000000026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3" sqref="N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CRUSHER</vt:lpstr>
      <vt:lpstr>RAW MILL</vt:lpstr>
      <vt:lpstr>KILN</vt:lpstr>
      <vt:lpstr>COAL MILL</vt:lpstr>
      <vt:lpstr>CVRM</vt:lpstr>
      <vt:lpstr>BM</vt:lpstr>
      <vt:lpstr>OVERALL</vt:lpstr>
      <vt:lpstr>R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2026-05-13T15:12:11Z</dcterms:created>
  <dcterms:modified xsi:type="dcterms:W3CDTF">2026-05-18T07:59:36Z</dcterms:modified>
</cp:coreProperties>
</file>